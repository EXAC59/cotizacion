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cotizacion\storage\fixtures\solicitudes\"/>
    </mc:Choice>
  </mc:AlternateContent>
  <xr:revisionPtr revIDLastSave="0" documentId="8_{8E4CB6FB-0DD5-496F-A532-D9F63AEB30D7}" xr6:coauthVersionLast="47" xr6:coauthVersionMax="47" xr10:uidLastSave="{00000000-0000-0000-0000-000000000000}"/>
  <bookViews>
    <workbookView xWindow="735" yWindow="735" windowWidth="21600" windowHeight="11295" xr2:uid="{4D53D4E8-2A14-4A25-B3B9-4704FB30843B}"/>
  </bookViews>
  <sheets>
    <sheet name="Hoja3" sheetId="6" r:id="rId1"/>
  </sheets>
  <externalReferences>
    <externalReference r:id="rId2"/>
    <externalReference r:id="rId3"/>
    <externalReference r:id="rId4"/>
  </externalReferences>
  <definedNames>
    <definedName name="_1000">#REF!</definedName>
    <definedName name="_2000">#REF!</definedName>
    <definedName name="_3000">#REF!</definedName>
    <definedName name="_4000">#REF!</definedName>
    <definedName name="_5000">#REF!</definedName>
    <definedName name="_6000">#REF!</definedName>
    <definedName name="_7000">#REF!</definedName>
    <definedName name="_9000">#REF!</definedName>
    <definedName name="AREAS">#REF!</definedName>
    <definedName name="BENEFICIARIOS">[2]UM!$C$2:$C$8</definedName>
    <definedName name="CAPITULO">[2]FF!$B$2:$B$9</definedName>
    <definedName name="METAS">[3]UM!$A$2:$A$21</definedName>
    <definedName name="ok">#REF!</definedName>
    <definedName name="PROGRAMAS">#REF!</definedName>
    <definedName name="x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6" i="6" l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5" i="6"/>
  <c r="M6" i="6"/>
  <c r="M4" i="6"/>
  <c r="M3" i="6"/>
  <c r="M2" i="6"/>
</calcChain>
</file>

<file path=xl/sharedStrings.xml><?xml version="1.0" encoding="utf-8"?>
<sst xmlns="http://schemas.openxmlformats.org/spreadsheetml/2006/main" count="396" uniqueCount="137">
  <si>
    <t>Capítulo</t>
  </si>
  <si>
    <t xml:space="preserve">Partida </t>
  </si>
  <si>
    <t>Nombre de partida</t>
  </si>
  <si>
    <t xml:space="preserve">1106176 Subdirección General </t>
  </si>
  <si>
    <t>A021E0141 Programa de Fortalecimiento a la Cultura</t>
  </si>
  <si>
    <t>Equipos de Audio</t>
  </si>
  <si>
    <t>Servicios de Capacitación</t>
  </si>
  <si>
    <t>Mobiliario</t>
  </si>
  <si>
    <t>Materiales, útiles y equipos menores de tecnologías de la información y comunicaciones</t>
  </si>
  <si>
    <t>1106176 Dirección General</t>
  </si>
  <si>
    <t>A021K0031 Fortalecimiento de la infraestructura cultural</t>
  </si>
  <si>
    <t>Equipo de Computo y Aparatos de Uso Informático</t>
  </si>
  <si>
    <t>1106178 Casa de Cultura</t>
  </si>
  <si>
    <t>1106179 Coordinación Estatal de Bibliotecas</t>
  </si>
  <si>
    <t>Herramientas Auxiliares de Trabajo</t>
  </si>
  <si>
    <t>1106181 Escuela de Música del Estado</t>
  </si>
  <si>
    <t>1106183 Dirección Administrativa y financiera</t>
  </si>
  <si>
    <t>Arrendamiento de activos intangibles</t>
  </si>
  <si>
    <t>Software</t>
  </si>
  <si>
    <t>1106184 Coordinación de Fomento Editorial</t>
  </si>
  <si>
    <t xml:space="preserve">1106186 Galería de Arte </t>
  </si>
  <si>
    <t xml:space="preserve">1106187 Dirección Técnica </t>
  </si>
  <si>
    <t>A021U0081 Estímulos a la creación artística y las iniciativas de emprendimiento cultural</t>
  </si>
  <si>
    <t>2 mini tripie pedestal de mesa para micrófono con clip</t>
  </si>
  <si>
    <t xml:space="preserve">Refacciones y accesorios menores otros bienes inmuebles </t>
  </si>
  <si>
    <t>Refacciones y Accesorios Menores de Equipo de Computo</t>
  </si>
  <si>
    <t xml:space="preserve">1106189 Teatro de la ciudad </t>
  </si>
  <si>
    <t>Equipos de cómputo y aparátos de uso informático</t>
  </si>
  <si>
    <t xml:space="preserve">1106190 Coordinación de Comunicación </t>
  </si>
  <si>
    <t>Dispositivos Internos y Externos de Equipo de Cómputo</t>
  </si>
  <si>
    <t xml:space="preserve">DIRECCIÓN JURIDICA </t>
  </si>
  <si>
    <t>CONSECUTIVO</t>
  </si>
  <si>
    <t>DESCRIPCION</t>
  </si>
  <si>
    <t>CANTIDAD</t>
  </si>
  <si>
    <t>AREA</t>
  </si>
  <si>
    <t>PROGRAMA PRESUPUESTARIO</t>
  </si>
  <si>
    <t>PRESUPUESTO</t>
  </si>
  <si>
    <t>CVE AREA</t>
  </si>
  <si>
    <t>Tomtoc 360° 15" (Funda para ordenador portatil)</t>
  </si>
  <si>
    <t>ordenador Portatil:
Procesador: Intel Core i5.RAM: 12 GB.SSD: 256 GB.
(Dell Inspiron 15 3520 o similar)</t>
  </si>
  <si>
    <t>Logitech G335 (audifonos)</t>
  </si>
  <si>
    <t>Lenovo ThinkCentre M70s Gen 5 (12XG001PLS)
Intel Core i5 14a Generación i5-14400 - Ram 16GB - 512GB SSD - Formato
PequeDo - Gris, Negro - Intel B760 Chip - Windows 11 Pro 64-bit - Intel UHD
monitor de 24" a 27"</t>
  </si>
  <si>
    <t>FUENTE DE PODER PARA PC GHIA-2392 AMD APU A SERIES</t>
  </si>
  <si>
    <t>FUENTE DE PODER GENERICA 500 W</t>
  </si>
  <si>
    <t>REGULADOR DE VOLTAJE KOBLENZ</t>
  </si>
  <si>
    <t>Control de asistencia con reconocimiento facial y lector de huella ZK Teco</t>
  </si>
  <si>
    <t>Bote de aire comprimido</t>
  </si>
  <si>
    <t xml:space="preserve">Silimex Silimpo Espuma </t>
  </si>
  <si>
    <t>Alcohol Isopropílico Silimex Aerosol De 250 Ml 99% De Pureza Para Limpieza Interna De Equipo De Cómputo Y Electrónica</t>
  </si>
  <si>
    <t>ARCTIC MX-4 (20 g) - Premium Performance Pasta Térmica</t>
  </si>
  <si>
    <t>Cinta para montaje doble cara 12.7mm x 2.03m</t>
  </si>
  <si>
    <t>TP-Link Adaptador de Red USB Archer T2U Plus, Inalámbrico, WLAN, 600Mbit/s, 2.4/5GHz</t>
  </si>
  <si>
    <t>Access Point Ubiquiti Networks UniFi AC Lite, 1.000Mbit/s, 1 x RJ-45, 2.4/5GHz</t>
  </si>
  <si>
    <t>Switch TP-Link 8 ptos 10/100/100 no administrable</t>
  </si>
  <si>
    <t>SSD Kingston A400 480GB SATA III3 2.5" lect. 500MB/s escr. 450MB/s</t>
  </si>
  <si>
    <t>SSD Kingston 500GB M.2 2280 NVME PCIe Gen. 4X4 3500/2100MB/s</t>
  </si>
  <si>
    <t>Bateria recargable AAA 900mah 1.2 V Duracell</t>
  </si>
  <si>
    <t>Memoria USB 3.0 64GB Kingston Datatraveler</t>
  </si>
  <si>
    <t>Memoria USB 3.0 128 GB Kingston Datatraveler</t>
  </si>
  <si>
    <t>Kit telefono inalámbrico Panasonic</t>
  </si>
  <si>
    <t>Panasonic Teléfono Básico KX-TS550, Alámbrico, Negro</t>
  </si>
  <si>
    <t xml:space="preserve">Bocinas para computadora color negro </t>
  </si>
  <si>
    <t>lector externo grabadora para CD DVD</t>
  </si>
  <si>
    <t>Disco Duro Externo HD710 PRO 2TB 2.5" Interfaz USB 3.2. Impermeable y resistente a golpes. Color NEGRO AHD710P-2TU31-CBK</t>
  </si>
  <si>
    <t>Pila CMOS  CR2032</t>
  </si>
  <si>
    <t>ORICO Hub 6 en 1 con PD</t>
  </si>
  <si>
    <t>Steren Adaptador USB-C a HDMI</t>
  </si>
  <si>
    <t>Lámpara Lupa 10x Articulada</t>
  </si>
  <si>
    <t>Destornillador Eléctrico Precisión</t>
  </si>
  <si>
    <t>Canaleta Autoadherible 20x12mm + esquinas (internas, externas y planos)</t>
  </si>
  <si>
    <t>Logitech MK120 Combo Teclado y Mouse con Cable para Windows, Mouse Óptico, Teclado Tamaño Normal, USB Plug-and-Play, Compatible con PC, Laptop - Negro</t>
  </si>
  <si>
    <t>cargador Dell Vostro 3400 (P132G) original 65W</t>
  </si>
  <si>
    <t>Norton antivirus 360 premium 10 usuarios.</t>
  </si>
  <si>
    <t xml:space="preserve">Equipo de computo completo:
Procesador: Intel Core i5 (12ª Gen en adelante) o AMD Ryzen 5 (Serie 5000 en adelante).
Memoria RAM: 8 a 16 GB DDR4/DDR5. 
Almacenamiento: 256 GB o 512 GB SSD NVMe. 
Torre o minitorre.
Monitor 22"
</t>
  </si>
  <si>
    <t>Equipo completo: 
CPU: Intel Core i7-13700 o superior / AMD Ryzen 7 7700X o superior.
RAM: 16 a 32 GB DDR5 a 4800MHz o superior.
GPU: NVIDIA GeForce RTX serie 4060 o NVIDIA RTX serie A (mínimo 8GB VRAM).
Almacenamiento: Unidad de Estado Sólido (SSD) NVMe PCIe Gen4 de 1TB.
Monitor: Panel IPS con resolución 2560x1440p (2K) y cobertura &gt;99% sRGB.</t>
  </si>
  <si>
    <t>Bitdefender Small Office Security 10 usuarios</t>
  </si>
  <si>
    <t>Camara Canon EOS R50</t>
  </si>
  <si>
    <t>Canon imageFORMULA DR-M140II</t>
  </si>
  <si>
    <t>Adobe creative todas las aplicaciones</t>
  </si>
  <si>
    <t>Office 365</t>
  </si>
  <si>
    <t>Epson PowerLite E20</t>
  </si>
  <si>
    <t xml:space="preserve">computadora de escritorio (cpu) procesador core i7, 16gb ram y SSD de 512 gb. Un monitor de de 24" pulgadas </t>
  </si>
  <si>
    <t>Logitech C920s (cámara web para computadora de escritorio con micrófono incluido)</t>
  </si>
  <si>
    <t>LG 27UL500-W (monitor 27")</t>
  </si>
  <si>
    <t>Equipo de computo completo:
Procesador: Intel Core i5 (12ª Gen en adelante) o AMD Ryzen 5 (Serie 5000 en adelante).
Memoria RAM: 8 a 16 GB DDR4/DDR5. 
Almacenamiento: 256 GB o 512 GB SSD NVMe. 
Torre o minitorre.
Monitor 22"</t>
  </si>
  <si>
    <t xml:space="preserve">Mono Láser DCP-L2540DW (multifuncional)
Multifuncional monocromática inalámbrica láser
Funciones: Impresora, Copiadora, Escáner
Tamaños de papel: Carta, ejecutivo, legal, oficio, A4, A5, B5
Capacidad bandeja de papel: Hasta 250 hojas
Alimentador automático de documentos: Hasta 35 páginas
Tamaño de la pantalla: LCD de 2 líneas
Velocidad de impresión (Blanco y negro): Hasta 30 páginas por minuto (carta)
Resolución de impresión: Hasta 2,400 x 600 dpi
Impresión dúplex automática: Sí (Folio, Carta, A4)
Interfaz: USB 2.0 de alta velocidad, LAN 10BASE-T / 100BASE-TX, LAN Inalámbrica IEEE 802.11 b/g/n (Modo Infraestructura/ad-hoc) IEEE 802.11g/n (Wi-Fi Direct™)
Conectividad: Wi-Fi, Wi-Fi direct y Ethernet
Tipo de escáner: Cama Plana a Color con ADF
Resolución del escáner: Óptica: Hasta 2,400 x 600 dpi
Interpolada: Hasta 19,200 x 19,200 dpi
Tamaño del cristal del escáner: Cama Plana a Color con ADF
Capacidad de memoria: 32MB
Resolución de copiado (máxima):600 x 600 dpi
Opciones de copiado: Copy ID, Ordenar/apilar hasta 99 páginas, N en 1
Ampliación / Reducción de copia: 25% a 400% en incrementos de 1%
Escaneado a otros destinos: Archivo, Imagen, Correo Electrónico, ROC, Microsoft® SharePoint
</t>
  </si>
  <si>
    <t>Mochilas para guardar equipo electronico  (laptop y tripies para celular)</t>
  </si>
  <si>
    <t xml:space="preserve"> funda protectora para cámara</t>
  </si>
  <si>
    <t>Equipo de computo completo:
Procesador: Intel Core i5 (12ª Gen en adelante) o AMD Ryzen 5 (Serie 5000 en adelante).
Memoria RAM: 8 a 16 GB DDR4/DDR5. 
Almacenamiento: 256 GB o 512 GB SSD NVMe. 
Torre o minitorre.
Monitor 27"</t>
  </si>
  <si>
    <t>1 centro de carga modelo powerpack 1E</t>
  </si>
  <si>
    <t>no break cdp r-smart 1510 1500va 900w</t>
  </si>
  <si>
    <t>regulador cdp r-avr 2408 2400va/1800w</t>
  </si>
  <si>
    <t xml:space="preserve"> par led 18x10w rgba marca litetek (case con 6 pzas)</t>
  </si>
  <si>
    <t>conectores xlr macho</t>
  </si>
  <si>
    <t>conectores xlr hembra</t>
  </si>
  <si>
    <t>cable para mic xlr marca vamav 10mt,</t>
  </si>
  <si>
    <t xml:space="preserve"> cable uso rudo 4x6 de 100mts,</t>
  </si>
  <si>
    <t>multimetro truper 10404 digital gancho induts,</t>
  </si>
  <si>
    <t>cintas aislantes 3m super 33 18mm x 20mts,</t>
  </si>
  <si>
    <t>sujetador carga truper 19285 2pza 1-1/4x5mt 1000kg,</t>
  </si>
  <si>
    <t>clavijas leviton 515pv vinil amarilla 15a 110v,</t>
  </si>
  <si>
    <t>contactos levinton 515cv colg-pvc amarillo 15a 110v,</t>
  </si>
  <si>
    <t xml:space="preserve"> tapas galvan 2x4 duplex</t>
  </si>
  <si>
    <t xml:space="preserve"> contactos leviton doble blanco polarizado 47733</t>
  </si>
  <si>
    <t>Cable uso rudo 3x10 de 100mts</t>
  </si>
  <si>
    <t>cajas chalupa 2x4 c-16 Ko 1/2-3/4</t>
  </si>
  <si>
    <t xml:space="preserve">Mezcladora  Yamaha MG10XU4
Par de Bafles DBR15
Par de Cables XLR (10m)
</t>
  </si>
  <si>
    <t xml:space="preserve">cable Shure WA302 plug, 10 metros </t>
  </si>
  <si>
    <t xml:space="preserve"> microfonos marca shure modelo  sm58-ls  </t>
  </si>
  <si>
    <t>microfonos Shure modelo sm57-ls</t>
  </si>
  <si>
    <t>Stand para microfono marca K&amp;M con Boom ( 21020-500-55).</t>
  </si>
  <si>
    <t xml:space="preserve"> cables de XLR Conector macho-hembra marca CBI.</t>
  </si>
  <si>
    <t xml:space="preserve">  extenciones de corriente de uso rudo de 10m.</t>
  </si>
  <si>
    <t xml:space="preserve"> extenciones de corriente de uso rudo de 20m.</t>
  </si>
  <si>
    <t>Proyector ViewSonic PA503S 3800 lumenes</t>
  </si>
  <si>
    <t>NUMERO ARTICULOS</t>
  </si>
  <si>
    <t>Kit Bagdy Ribbon YMCKO</t>
  </si>
  <si>
    <t>Kit de Limpieza Evolis (ACL008)</t>
  </si>
  <si>
    <t>PAQUETE de 100 tarjetas de PVC Blancas Formato CR-80</t>
  </si>
  <si>
    <t>Impresora Evolis Badgy 200</t>
  </si>
  <si>
    <t>micrófonos Shure SM58S</t>
  </si>
  <si>
    <t>cables para micrófonos SHURE C25J 7.5M Canon Macho-Canon Hembra</t>
  </si>
  <si>
    <t>pedestales para micrófonos Hercules Stands MS432B.</t>
  </si>
  <si>
    <t>VA REALIZAR CAMBIOS EN SU SOLICITUD, en llamada con lic. Mosalvo de 24-05-2026, se determina solicitar la compra de 4 pzas de cada elemento mencionado en el proyecto</t>
  </si>
  <si>
    <t>En llamada con omar valverde, expresa que realizara modificacion al proyecto para poder adquirir un proyector, enviara una modificacion entre partidas. Tiene conocimiento Ismael y Vernna. A 14-05-2026</t>
  </si>
  <si>
    <t>Logitech MK540 Advanced Combo Teclado y Mouse Inalámbricos para Windows( Receptor USB Unifying de 2.4 GHz, Botones Multimedia, Baterías Teclado 36 Meses y Mouse 18, para PC, Laptop - Negro)</t>
  </si>
  <si>
    <t>TECHO PRESUPUESTAL</t>
  </si>
  <si>
    <t>ADICIONAL DE DIR. TECNICA (pendiente)</t>
  </si>
  <si>
    <t>Aurora AU120MA (trituradora de papel)
Tipo de Triturado Microcorte (Micro-cut)
Nivel de Seguridad DIN P-4 (Confeti de 4 x 12 mm)
Capacidad Auto-Feed 120 hojas (Bandeja automática)
Capacidad Manual 10 hojas (Entrada frontal)
Ciclo de Trabajo 60 min (Auto) / 10 min (Manual)
Velocidad 1.8 metros por minuto
Nivel de Ruido 60 dB (Ultra silencioso)
Volumen del Depósito 19 Litros (5.0 Galones)
Destrucción de Medios Tarjetas de crédito, grapas y clips pequeños
Dimensiones Aprox. 36.6 x 25.4 x 49.3 cm</t>
  </si>
  <si>
    <t>Logitech MK270 (Combo Inalámbrico teclado y mouse) 
o Acteck MK450 (Combo)</t>
  </si>
  <si>
    <t>Lente para camara Cannon.
Tipo: teleobjetivo
Tipo de montaje: AF
captura desde cerca o lejos con distancia focal 75-300mm F/4-5.6 III
enfoque manual y autofoco.
Cantidad de laminas del diagrama: 7</t>
  </si>
  <si>
    <t>PRECIO UNITARIO</t>
  </si>
  <si>
    <t>IMPORTE</t>
  </si>
  <si>
    <t>SE LE AGREGARA 8 MIL</t>
  </si>
  <si>
    <t>SUBTOTAL</t>
  </si>
  <si>
    <t>IVA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</si>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</sst>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8A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9" applyNumberFormat="0" applyAlignment="0" applyProtection="0"/>
    <xf numFmtId="0" fontId="6" fillId="0" borderId="10" applyNumberFormat="0" applyFill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7" fillId="8" borderId="9" applyNumberFormat="0" applyAlignment="0" applyProtection="0"/>
    <xf numFmtId="0" fontId="8" fillId="9" borderId="0" applyNumberFormat="0" applyBorder="0" applyAlignment="0" applyProtection="0"/>
    <xf numFmtId="44" fontId="1" fillId="0" borderId="0" applyFont="0" applyFill="0" applyBorder="0" applyAlignment="0" applyProtection="0"/>
    <xf numFmtId="0" fontId="9" fillId="10" borderId="0" applyNumberFormat="0" applyBorder="0" applyAlignment="0" applyProtection="0"/>
    <xf numFmtId="0" fontId="10" fillId="0" borderId="0"/>
    <xf numFmtId="0" fontId="1" fillId="11" borderId="11" applyNumberFormat="0" applyFont="0" applyAlignment="0" applyProtection="0"/>
  </cellStyleXfs>
  <cellXfs count="127">
    <xf numFmtId="0" fontId="0" fillId="0" borderId="0" xfId="0"/>
    <xf numFmtId="0" fontId="12" fillId="12" borderId="1" xfId="0" applyFont="1" applyFill="1" applyBorder="1" applyAlignment="1" applyProtection="1">
      <alignment horizontal="center" vertical="center" wrapText="1"/>
      <protection locked="0"/>
    </xf>
    <xf numFmtId="0" fontId="12" fillId="13" borderId="1" xfId="0" applyFont="1" applyFill="1" applyBorder="1" applyAlignment="1" applyProtection="1">
      <alignment horizontal="center" vertical="center" wrapText="1"/>
      <protection locked="0"/>
    </xf>
    <xf numFmtId="44" fontId="13" fillId="0" borderId="2" xfId="10" applyFont="1" applyBorder="1" applyAlignment="1">
      <alignment vertical="center"/>
    </xf>
    <xf numFmtId="0" fontId="2" fillId="6" borderId="0" xfId="6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0" fontId="13" fillId="0" borderId="2" xfId="0" applyNumberFormat="1" applyFont="1" applyBorder="1" applyAlignment="1">
      <alignment vertical="center" wrapText="1"/>
    </xf>
    <xf numFmtId="0" fontId="13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2" xfId="1" applyNumberFormat="1" applyBorder="1" applyAlignment="1">
      <alignment horizontal="center" vertical="center"/>
    </xf>
    <xf numFmtId="0" fontId="1" fillId="2" borderId="2" xfId="1" applyNumberFormat="1" applyBorder="1" applyAlignment="1">
      <alignment vertical="center" wrapText="1"/>
    </xf>
    <xf numFmtId="0" fontId="1" fillId="2" borderId="2" xfId="1" applyNumberFormat="1" applyBorder="1" applyAlignment="1">
      <alignment horizontal="center" vertical="center" wrapText="1"/>
    </xf>
    <xf numFmtId="0" fontId="1" fillId="2" borderId="2" xfId="1" applyBorder="1" applyAlignment="1">
      <alignment vertical="center"/>
    </xf>
    <xf numFmtId="0" fontId="13" fillId="14" borderId="2" xfId="0" applyNumberFormat="1" applyFont="1" applyFill="1" applyBorder="1" applyAlignment="1">
      <alignment horizontal="center" vertical="center"/>
    </xf>
    <xf numFmtId="0" fontId="13" fillId="14" borderId="2" xfId="0" applyNumberFormat="1" applyFont="1" applyFill="1" applyBorder="1" applyAlignment="1">
      <alignment vertical="center" wrapText="1"/>
    </xf>
    <xf numFmtId="0" fontId="13" fillId="14" borderId="2" xfId="0" applyNumberFormat="1" applyFont="1" applyFill="1" applyBorder="1" applyAlignment="1">
      <alignment horizontal="center" vertical="center" wrapText="1"/>
    </xf>
    <xf numFmtId="0" fontId="0" fillId="14" borderId="3" xfId="0" applyFill="1" applyBorder="1" applyAlignment="1">
      <alignment vertical="center"/>
    </xf>
    <xf numFmtId="0" fontId="0" fillId="14" borderId="3" xfId="0" applyFill="1" applyBorder="1" applyAlignment="1">
      <alignment vertical="center" wrapText="1"/>
    </xf>
    <xf numFmtId="0" fontId="11" fillId="14" borderId="2" xfId="0" applyFont="1" applyFill="1" applyBorder="1" applyAlignment="1">
      <alignment horizontal="center" vertical="center"/>
    </xf>
    <xf numFmtId="44" fontId="8" fillId="9" borderId="2" xfId="9" applyNumberFormat="1" applyBorder="1" applyAlignment="1">
      <alignment vertical="center"/>
    </xf>
    <xf numFmtId="0" fontId="0" fillId="0" borderId="0" xfId="0" applyFill="1"/>
    <xf numFmtId="0" fontId="3" fillId="4" borderId="2" xfId="3" applyBorder="1" applyAlignment="1">
      <alignment horizontal="center" vertical="center"/>
    </xf>
    <xf numFmtId="0" fontId="3" fillId="4" borderId="2" xfId="3" applyNumberFormat="1" applyBorder="1" applyAlignment="1">
      <alignment horizontal="center" vertical="center"/>
    </xf>
    <xf numFmtId="0" fontId="3" fillId="4" borderId="2" xfId="3" applyNumberFormat="1" applyBorder="1" applyAlignment="1">
      <alignment vertical="center" wrapText="1"/>
    </xf>
    <xf numFmtId="0" fontId="3" fillId="4" borderId="2" xfId="3" applyNumberFormat="1" applyBorder="1" applyAlignment="1">
      <alignment horizontal="center" vertical="center" wrapText="1"/>
    </xf>
    <xf numFmtId="0" fontId="3" fillId="4" borderId="2" xfId="3" applyBorder="1" applyAlignment="1">
      <alignment vertical="center"/>
    </xf>
    <xf numFmtId="0" fontId="3" fillId="4" borderId="4" xfId="3" applyBorder="1" applyAlignment="1">
      <alignment horizontal="center" vertical="center"/>
    </xf>
    <xf numFmtId="0" fontId="3" fillId="4" borderId="5" xfId="3" applyBorder="1" applyAlignment="1">
      <alignment vertical="center"/>
    </xf>
    <xf numFmtId="0" fontId="8" fillId="9" borderId="2" xfId="9" applyBorder="1" applyAlignment="1">
      <alignment horizontal="center" vertical="center"/>
    </xf>
    <xf numFmtId="0" fontId="8" fillId="9" borderId="2" xfId="9" applyBorder="1" applyAlignment="1">
      <alignment horizontal="center" vertical="center" wrapText="1"/>
    </xf>
    <xf numFmtId="0" fontId="4" fillId="5" borderId="9" xfId="4" applyAlignment="1">
      <alignment horizontal="center" vertical="center"/>
    </xf>
    <xf numFmtId="0" fontId="4" fillId="5" borderId="9" xfId="4" applyAlignment="1">
      <alignment horizontal="center" vertical="center" wrapText="1"/>
    </xf>
    <xf numFmtId="0" fontId="4" fillId="5" borderId="9" xfId="4" applyAlignment="1">
      <alignment horizontal="center" wrapText="1"/>
    </xf>
    <xf numFmtId="0" fontId="9" fillId="10" borderId="9" xfId="11" applyBorder="1" applyAlignment="1">
      <alignment horizontal="center" vertical="center"/>
    </xf>
    <xf numFmtId="0" fontId="9" fillId="10" borderId="9" xfId="1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2" xfId="2" applyBorder="1" applyAlignment="1">
      <alignment horizontal="center" vertical="center"/>
    </xf>
    <xf numFmtId="0" fontId="1" fillId="3" borderId="2" xfId="2" applyNumberFormat="1" applyBorder="1" applyAlignment="1">
      <alignment horizontal="center" vertical="center"/>
    </xf>
    <xf numFmtId="0" fontId="1" fillId="3" borderId="2" xfId="2" applyNumberFormat="1" applyBorder="1" applyAlignment="1">
      <alignment vertical="center" wrapText="1"/>
    </xf>
    <xf numFmtId="0" fontId="1" fillId="3" borderId="2" xfId="2" applyNumberFormat="1" applyBorder="1" applyAlignment="1">
      <alignment horizontal="center" vertical="center" wrapText="1"/>
    </xf>
    <xf numFmtId="0" fontId="1" fillId="2" borderId="2" xfId="1" applyFont="1" applyBorder="1" applyAlignment="1">
      <alignment vertical="center"/>
    </xf>
    <xf numFmtId="0" fontId="3" fillId="4" borderId="2" xfId="3" applyBorder="1" applyAlignment="1">
      <alignment vertical="center" wrapText="1"/>
    </xf>
    <xf numFmtId="0" fontId="9" fillId="10" borderId="2" xfId="11" applyBorder="1" applyAlignment="1">
      <alignment horizontal="center" vertical="center"/>
    </xf>
    <xf numFmtId="0" fontId="9" fillId="10" borderId="2" xfId="11" applyNumberFormat="1" applyBorder="1" applyAlignment="1">
      <alignment horizontal="center" vertical="center"/>
    </xf>
    <xf numFmtId="0" fontId="9" fillId="10" borderId="2" xfId="11" applyNumberFormat="1" applyBorder="1" applyAlignment="1">
      <alignment vertical="center" wrapText="1"/>
    </xf>
    <xf numFmtId="0" fontId="9" fillId="10" borderId="2" xfId="11" applyNumberFormat="1" applyBorder="1" applyAlignment="1">
      <alignment horizontal="center" vertical="center" wrapText="1"/>
    </xf>
    <xf numFmtId="0" fontId="9" fillId="10" borderId="2" xfId="11" applyBorder="1" applyAlignment="1">
      <alignment vertical="center" wrapText="1"/>
    </xf>
    <xf numFmtId="0" fontId="1" fillId="3" borderId="2" xfId="2" applyBorder="1" applyAlignment="1">
      <alignment vertical="center"/>
    </xf>
    <xf numFmtId="0" fontId="2" fillId="7" borderId="2" xfId="7" applyBorder="1" applyAlignment="1">
      <alignment horizontal="center" vertical="center"/>
    </xf>
    <xf numFmtId="0" fontId="2" fillId="7" borderId="2" xfId="7" applyNumberFormat="1" applyBorder="1" applyAlignment="1">
      <alignment horizontal="center" vertical="center"/>
    </xf>
    <xf numFmtId="0" fontId="2" fillId="7" borderId="2" xfId="7" applyNumberFormat="1" applyBorder="1" applyAlignment="1">
      <alignment vertical="center" wrapText="1"/>
    </xf>
    <xf numFmtId="0" fontId="2" fillId="7" borderId="2" xfId="7" applyNumberFormat="1" applyBorder="1" applyAlignment="1">
      <alignment horizontal="center" vertical="center" wrapText="1"/>
    </xf>
    <xf numFmtId="0" fontId="2" fillId="7" borderId="2" xfId="7" applyBorder="1" applyAlignment="1">
      <alignment vertical="center"/>
    </xf>
    <xf numFmtId="0" fontId="11" fillId="11" borderId="11" xfId="13" applyFont="1" applyAlignment="1">
      <alignment horizontal="center" vertical="center"/>
    </xf>
    <xf numFmtId="0" fontId="13" fillId="11" borderId="11" xfId="13" applyNumberFormat="1" applyFont="1" applyAlignment="1">
      <alignment horizontal="center" vertical="center"/>
    </xf>
    <xf numFmtId="0" fontId="13" fillId="11" borderId="11" xfId="13" applyNumberFormat="1" applyFont="1" applyAlignment="1">
      <alignment vertical="center" wrapText="1"/>
    </xf>
    <xf numFmtId="0" fontId="13" fillId="11" borderId="11" xfId="13" applyNumberFormat="1" applyFont="1" applyAlignment="1">
      <alignment horizontal="center" vertical="center" wrapText="1"/>
    </xf>
    <xf numFmtId="44" fontId="13" fillId="11" borderId="11" xfId="13" applyNumberFormat="1" applyFont="1" applyAlignment="1">
      <alignment vertical="center"/>
    </xf>
    <xf numFmtId="0" fontId="1" fillId="11" borderId="11" xfId="13" applyFont="1" applyAlignment="1">
      <alignment vertical="center" wrapText="1"/>
    </xf>
    <xf numFmtId="0" fontId="11" fillId="2" borderId="2" xfId="1" applyFont="1" applyBorder="1" applyAlignment="1">
      <alignment horizontal="center" vertical="center"/>
    </xf>
    <xf numFmtId="0" fontId="14" fillId="4" borderId="2" xfId="3" applyFont="1" applyBorder="1" applyAlignment="1">
      <alignment horizontal="center" vertical="center"/>
    </xf>
    <xf numFmtId="0" fontId="15" fillId="9" borderId="2" xfId="9" applyFont="1" applyBorder="1" applyAlignment="1">
      <alignment horizontal="center" vertical="center"/>
    </xf>
    <xf numFmtId="0" fontId="4" fillId="5" borderId="9" xfId="4" applyFont="1" applyAlignment="1">
      <alignment horizontal="center" vertical="center"/>
    </xf>
    <xf numFmtId="0" fontId="16" fillId="10" borderId="9" xfId="11" applyFont="1" applyBorder="1" applyAlignment="1">
      <alignment horizontal="center" vertical="center"/>
    </xf>
    <xf numFmtId="0" fontId="16" fillId="10" borderId="2" xfId="11" applyFont="1" applyBorder="1" applyAlignment="1">
      <alignment horizontal="center" vertical="center"/>
    </xf>
    <xf numFmtId="0" fontId="5" fillId="7" borderId="2" xfId="7" applyFont="1" applyBorder="1" applyAlignment="1">
      <alignment horizontal="center" vertical="center"/>
    </xf>
    <xf numFmtId="0" fontId="11" fillId="3" borderId="2" xfId="2" applyFont="1" applyBorder="1" applyAlignment="1">
      <alignment horizontal="center" vertical="center"/>
    </xf>
    <xf numFmtId="0" fontId="1" fillId="2" borderId="2" xfId="1" applyFont="1" applyBorder="1" applyAlignment="1">
      <alignment vertical="center" wrapText="1"/>
    </xf>
    <xf numFmtId="0" fontId="7" fillId="8" borderId="9" xfId="8" applyAlignment="1">
      <alignment horizontal="center" vertical="center"/>
    </xf>
    <xf numFmtId="0" fontId="7" fillId="8" borderId="9" xfId="8" applyNumberFormat="1" applyAlignment="1">
      <alignment horizontal="center" vertical="center"/>
    </xf>
    <xf numFmtId="0" fontId="7" fillId="8" borderId="9" xfId="8" applyNumberFormat="1" applyAlignment="1">
      <alignment vertical="center" wrapText="1"/>
    </xf>
    <xf numFmtId="0" fontId="7" fillId="8" borderId="9" xfId="8" applyNumberFormat="1" applyAlignment="1">
      <alignment horizontal="center" vertical="center" wrapText="1"/>
    </xf>
    <xf numFmtId="0" fontId="7" fillId="8" borderId="9" xfId="8" applyAlignment="1">
      <alignment vertical="center" wrapText="1"/>
    </xf>
    <xf numFmtId="44" fontId="1" fillId="0" borderId="2" xfId="10" applyFont="1" applyBorder="1"/>
    <xf numFmtId="44" fontId="0" fillId="0" borderId="0" xfId="0" applyNumberFormat="1"/>
    <xf numFmtId="6" fontId="6" fillId="0" borderId="10" xfId="5" applyNumberFormat="1"/>
    <xf numFmtId="2" fontId="12" fillId="13" borderId="1" xfId="0" applyNumberFormat="1" applyFont="1" applyFill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>
      <alignment horizontal="center" vertical="center"/>
    </xf>
    <xf numFmtId="2" fontId="1" fillId="2" borderId="2" xfId="1" applyNumberFormat="1" applyFont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2" fontId="0" fillId="14" borderId="2" xfId="0" applyNumberFormat="1" applyFill="1" applyBorder="1" applyAlignment="1">
      <alignment horizontal="center" vertical="center"/>
    </xf>
    <xf numFmtId="2" fontId="3" fillId="4" borderId="2" xfId="3" applyNumberFormat="1" applyBorder="1" applyAlignment="1">
      <alignment horizontal="center" vertical="center"/>
    </xf>
    <xf numFmtId="2" fontId="3" fillId="4" borderId="4" xfId="3" applyNumberFormat="1" applyBorder="1" applyAlignment="1">
      <alignment horizontal="center" vertical="center"/>
    </xf>
    <xf numFmtId="2" fontId="8" fillId="9" borderId="2" xfId="9" applyNumberFormat="1" applyBorder="1" applyAlignment="1">
      <alignment horizontal="center" vertical="center"/>
    </xf>
    <xf numFmtId="2" fontId="4" fillId="5" borderId="9" xfId="4" applyNumberFormat="1" applyAlignment="1">
      <alignment horizontal="center" vertical="center"/>
    </xf>
    <xf numFmtId="2" fontId="9" fillId="10" borderId="9" xfId="11" applyNumberFormat="1" applyBorder="1" applyAlignment="1">
      <alignment horizontal="center" vertical="center"/>
    </xf>
    <xf numFmtId="2" fontId="1" fillId="11" borderId="11" xfId="13" applyNumberFormat="1" applyFont="1" applyAlignment="1">
      <alignment horizontal="center" vertical="center"/>
    </xf>
    <xf numFmtId="2" fontId="7" fillId="8" borderId="9" xfId="8" applyNumberFormat="1" applyAlignment="1">
      <alignment horizontal="center" vertical="center"/>
    </xf>
    <xf numFmtId="2" fontId="1" fillId="2" borderId="2" xfId="1" applyNumberFormat="1" applyFont="1" applyBorder="1" applyAlignment="1">
      <alignment horizontal="center"/>
    </xf>
    <xf numFmtId="2" fontId="9" fillId="10" borderId="2" xfId="11" applyNumberFormat="1" applyBorder="1" applyAlignment="1">
      <alignment horizontal="center" vertical="center"/>
    </xf>
    <xf numFmtId="2" fontId="2" fillId="7" borderId="2" xfId="7" applyNumberFormat="1" applyBorder="1" applyAlignment="1">
      <alignment horizontal="center" vertical="center"/>
    </xf>
    <xf numFmtId="2" fontId="1" fillId="3" borderId="2" xfId="2" applyNumberFormat="1" applyBorder="1" applyAlignment="1">
      <alignment horizontal="center" vertical="center"/>
    </xf>
    <xf numFmtId="2" fontId="0" fillId="0" borderId="0" xfId="0" applyNumberFormat="1"/>
    <xf numFmtId="0" fontId="0" fillId="0" borderId="2" xfId="0" applyBorder="1"/>
    <xf numFmtId="0" fontId="11" fillId="0" borderId="2" xfId="0" applyFont="1" applyBorder="1"/>
    <xf numFmtId="0" fontId="11" fillId="0" borderId="2" xfId="0" applyFont="1" applyFill="1" applyBorder="1"/>
    <xf numFmtId="0" fontId="11" fillId="15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/>
    </xf>
    <xf numFmtId="44" fontId="1" fillId="2" borderId="1" xfId="1" applyNumberFormat="1" applyBorder="1" applyAlignment="1">
      <alignment horizontal="center" vertical="center"/>
    </xf>
    <xf numFmtId="44" fontId="1" fillId="2" borderId="6" xfId="1" applyNumberFormat="1" applyBorder="1" applyAlignment="1">
      <alignment horizontal="center" vertical="center"/>
    </xf>
    <xf numFmtId="44" fontId="13" fillId="14" borderId="1" xfId="10" applyFont="1" applyFill="1" applyBorder="1" applyAlignment="1">
      <alignment horizontal="center" vertical="center"/>
    </xf>
    <xf numFmtId="44" fontId="13" fillId="14" borderId="4" xfId="10" applyFont="1" applyFill="1" applyBorder="1" applyAlignment="1">
      <alignment horizontal="center" vertical="center"/>
    </xf>
    <xf numFmtId="44" fontId="13" fillId="14" borderId="6" xfId="10" applyFont="1" applyFill="1" applyBorder="1" applyAlignment="1">
      <alignment horizontal="center" vertical="center"/>
    </xf>
    <xf numFmtId="44" fontId="3" fillId="4" borderId="1" xfId="3" applyNumberFormat="1" applyBorder="1" applyAlignment="1">
      <alignment horizontal="center" vertical="center"/>
    </xf>
    <xf numFmtId="44" fontId="3" fillId="4" borderId="6" xfId="3" applyNumberFormat="1" applyBorder="1" applyAlignment="1">
      <alignment horizontal="center" vertical="center"/>
    </xf>
    <xf numFmtId="44" fontId="4" fillId="5" borderId="14" xfId="4" applyNumberFormat="1" applyBorder="1" applyAlignment="1">
      <alignment horizontal="center" vertical="center"/>
    </xf>
    <xf numFmtId="44" fontId="4" fillId="5" borderId="15" xfId="4" applyNumberFormat="1" applyBorder="1" applyAlignment="1">
      <alignment horizontal="center" vertical="center"/>
    </xf>
    <xf numFmtId="44" fontId="4" fillId="5" borderId="16" xfId="4" applyNumberFormat="1" applyBorder="1" applyAlignment="1">
      <alignment horizontal="center" vertical="center"/>
    </xf>
    <xf numFmtId="44" fontId="9" fillId="10" borderId="12" xfId="11" applyNumberFormat="1" applyBorder="1" applyAlignment="1">
      <alignment horizontal="center" vertical="center"/>
    </xf>
    <xf numFmtId="44" fontId="9" fillId="10" borderId="13" xfId="11" applyNumberFormat="1" applyBorder="1" applyAlignment="1">
      <alignment horizontal="center" vertical="center"/>
    </xf>
    <xf numFmtId="44" fontId="3" fillId="4" borderId="4" xfId="3" applyNumberFormat="1" applyBorder="1" applyAlignment="1">
      <alignment horizontal="center" vertical="center"/>
    </xf>
    <xf numFmtId="44" fontId="7" fillId="8" borderId="12" xfId="8" applyNumberFormat="1" applyBorder="1" applyAlignment="1">
      <alignment horizontal="center" vertical="center"/>
    </xf>
    <xf numFmtId="44" fontId="7" fillId="8" borderId="13" xfId="8" applyNumberFormat="1" applyBorder="1" applyAlignment="1">
      <alignment horizontal="center" vertical="center"/>
    </xf>
    <xf numFmtId="44" fontId="1" fillId="2" borderId="4" xfId="1" applyNumberFormat="1" applyBorder="1" applyAlignment="1">
      <alignment horizontal="center" vertical="center"/>
    </xf>
    <xf numFmtId="44" fontId="9" fillId="10" borderId="1" xfId="11" applyNumberFormat="1" applyBorder="1" applyAlignment="1">
      <alignment horizontal="center" vertical="center"/>
    </xf>
    <xf numFmtId="44" fontId="9" fillId="10" borderId="4" xfId="11" applyNumberFormat="1" applyBorder="1" applyAlignment="1">
      <alignment horizontal="center" vertical="center"/>
    </xf>
    <xf numFmtId="44" fontId="9" fillId="10" borderId="6" xfId="11" applyNumberFormat="1" applyBorder="1" applyAlignment="1">
      <alignment horizontal="center" vertical="center"/>
    </xf>
    <xf numFmtId="44" fontId="2" fillId="7" borderId="1" xfId="7" applyNumberFormat="1" applyBorder="1" applyAlignment="1">
      <alignment horizontal="center" vertical="center"/>
    </xf>
    <xf numFmtId="44" fontId="2" fillId="7" borderId="4" xfId="7" applyNumberFormat="1" applyBorder="1" applyAlignment="1">
      <alignment horizontal="center" vertical="center"/>
    </xf>
    <xf numFmtId="44" fontId="2" fillId="7" borderId="6" xfId="7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4">
    <cellStyle name="20% - Accent2" xfId="1" builtinId="34"/>
    <cellStyle name="40% - Accent2" xfId="2" builtinId="35"/>
    <cellStyle name="Accent1" xfId="6" builtinId="29"/>
    <cellStyle name="Accent2" xfId="7" builtinId="33"/>
    <cellStyle name="Bad" xfId="9" builtinId="27"/>
    <cellStyle name="Calculation" xfId="4" builtinId="22"/>
    <cellStyle name="Currency" xfId="10" builtinId="4"/>
    <cellStyle name="Good" xfId="3" builtinId="26"/>
    <cellStyle name="Input" xfId="8" builtinId="20"/>
    <cellStyle name="Linked Cell" xfId="5" builtinId="24"/>
    <cellStyle name="Neutral" xfId="11" builtinId="28"/>
    <cellStyle name="Normal" xfId="0" builtinId="0"/>
    <cellStyle name="Normal 2" xfId="12" xr:uid="{252CCD12-DE07-4947-9B07-03FA23E49880}"/>
    <cellStyle name="Note" xfId="1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RECURSOSMATERIALES01/AppData/Local/Microsoft/Windows/INetCache/Content.Outlook/AAD7R4L5/Copia%20de%20220126_Presupuesto%20agrupado%202026_OK.xlsx" TargetMode="External"/><Relationship Id="rId1" Type="http://schemas.openxmlformats.org/officeDocument/2006/relationships/externalLinkPath" Target="/Users/RECURSOSMATERIALES01/AppData/Local/Microsoft/Windows/INetCache/Content.Outlook/AAD7R4L5/Copia%20de%20220126_Presupuesto%20agrupado%202026_O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gabrielavaladez/Library/Containers/com.microsoft.Excel/Data/Documents/about:blank" TargetMode="External"/><Relationship Id="rId1" Type="http://schemas.openxmlformats.org/officeDocument/2006/relationships/externalLinkPath" Target="/Users/gabrielavaladez/Library/Containers/com.microsoft.Excel/Data/Documents/about:blank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2025/Presupuesto%202025/Proyectos%20estatales%20y%20RP%202025%20Validados%20y%20firmados/Museo%20de%20Arte%20BCS/Proyectos%20Excel%20definitivos%202025%20MUABCS/PC-RP-2025-ISC-MUABCS-A%20%20PROYECTO%20RECURSO%20PROPIO%20MUABCS%202025%20MODIFICADO%20170625.xlsx" TargetMode="External"/><Relationship Id="rId1" Type="http://schemas.openxmlformats.org/officeDocument/2006/relationships/externalLinkPath" Target="/2025/Presupuesto%202025/Proyectos%20estatales%20y%20RP%202025%20Validados%20y%20firmados/Museo%20de%20Arte%20BCS/Proyectos%20Excel%20definitivos%202025%20MUABCS/PC-RP-2025-ISC-MUABCS-A%20%20PROYECTO%20RECURSO%20PROPIO%20MUABCS%202025%20MODIFICADO%201706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ficiencia"/>
      <sheetName val="Hoja3"/>
      <sheetName val="Ampliación con suficiencia SFYA"/>
      <sheetName val="Lista OK"/>
      <sheetName val="RE Agrupado 2026"/>
      <sheetName val="Hoja2"/>
      <sheetName val="Hoja4"/>
      <sheetName val="Tabla "/>
      <sheetName val="Ampliación "/>
      <sheetName val="Impulso"/>
      <sheetName val="xxxx"/>
      <sheetName val="Hoja1"/>
      <sheetName val="Pendiente"/>
      <sheetName val="Pendient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M"/>
      <sheetName val="FF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TILLA GRAL"/>
      <sheetName val="PROGRAMAS"/>
      <sheetName val="AREAS"/>
      <sheetName val="PARTIDAS PRESUPUESTALES"/>
      <sheetName val="FF"/>
      <sheetName val="UM"/>
      <sheetName val="CATALOGO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Beca</v>
          </cell>
        </row>
        <row r="3">
          <cell r="A3" t="str">
            <v>Concierto</v>
          </cell>
        </row>
        <row r="4">
          <cell r="A4" t="str">
            <v>Curso</v>
          </cell>
        </row>
        <row r="5">
          <cell r="A5" t="str">
            <v>Edición</v>
          </cell>
        </row>
        <row r="6">
          <cell r="A6" t="str">
            <v>Entrevista</v>
          </cell>
        </row>
        <row r="7">
          <cell r="A7" t="str">
            <v>Equipo</v>
          </cell>
        </row>
        <row r="8">
          <cell r="A8" t="str">
            <v>Estímulo</v>
          </cell>
        </row>
        <row r="9">
          <cell r="A9" t="str">
            <v>Evento</v>
          </cell>
        </row>
        <row r="10">
          <cell r="A10" t="str">
            <v>Exposición</v>
          </cell>
        </row>
        <row r="11">
          <cell r="A11" t="str">
            <v>Festival</v>
          </cell>
        </row>
        <row r="12">
          <cell r="A12" t="str">
            <v>Impresión</v>
          </cell>
        </row>
        <row r="13">
          <cell r="A13" t="str">
            <v>Investigación</v>
          </cell>
        </row>
        <row r="14">
          <cell r="A14" t="str">
            <v>Mobiliario</v>
          </cell>
        </row>
        <row r="15">
          <cell r="A15" t="str">
            <v>Obra</v>
          </cell>
        </row>
        <row r="16">
          <cell r="A16" t="str">
            <v>Presentación</v>
          </cell>
        </row>
        <row r="17">
          <cell r="A17" t="str">
            <v>Programa</v>
          </cell>
        </row>
        <row r="18">
          <cell r="A18" t="str">
            <v>Recital</v>
          </cell>
        </row>
        <row r="19">
          <cell r="A19" t="str">
            <v>Servicio</v>
          </cell>
        </row>
        <row r="20">
          <cell r="A20" t="str">
            <v>Taller</v>
          </cell>
        </row>
        <row r="21">
          <cell r="A21" t="str">
            <v>Materiales y
Suministros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2A22-421D-40E2-8F6F-B2F85DFA1D80}">
  <dimension ref="A1:O100"/>
  <sheetViews>
    <sheetView tabSelected="1" topLeftCell="G1" workbookViewId="0">
      <selection activeCell="M3" sqref="M3"/>
    </sheetView>
  </sheetViews>
  <sheetFormatPr defaultRowHeight="15" x14ac:dyDescent="0.25"/>
  <cols>
    <col min="1" max="2" width="11.7109375" customWidth="1"/>
    <col min="3" max="3" width="11" bestFit="1" customWidth="1"/>
    <col min="4" max="4" width="11.85546875" customWidth="1"/>
    <col min="5" max="7" width="17" customWidth="1"/>
    <col min="8" max="8" width="18.140625" customWidth="1"/>
    <col min="9" max="9" width="17" customWidth="1"/>
    <col min="10" max="10" width="71.85546875" customWidth="1"/>
    <col min="11" max="11" width="16.140625" style="96" bestFit="1" customWidth="1"/>
    <col min="12" max="12" width="18.140625" customWidth="1"/>
    <col min="13" max="13" width="26.7109375" customWidth="1"/>
    <col min="14" max="14" width="0" hidden="1" customWidth="1"/>
    <col min="15" max="15" width="38.140625" customWidth="1"/>
    <col min="16" max="256" width="11.42578125" customWidth="1"/>
  </cols>
  <sheetData>
    <row r="1" spans="1:13" ht="25.5" x14ac:dyDescent="0.25">
      <c r="A1" s="2" t="s">
        <v>31</v>
      </c>
      <c r="B1" s="2" t="s">
        <v>115</v>
      </c>
      <c r="C1" s="2" t="s">
        <v>37</v>
      </c>
      <c r="D1" s="2" t="s">
        <v>34</v>
      </c>
      <c r="E1" s="2" t="s">
        <v>35</v>
      </c>
      <c r="F1" s="2" t="s">
        <v>0</v>
      </c>
      <c r="G1" s="1" t="s">
        <v>1</v>
      </c>
      <c r="H1" s="1" t="s">
        <v>2</v>
      </c>
      <c r="I1" s="4" t="s">
        <v>36</v>
      </c>
      <c r="J1" s="2" t="s">
        <v>32</v>
      </c>
      <c r="K1" s="80" t="s">
        <v>33</v>
      </c>
      <c r="L1" s="100" t="s">
        <v>131</v>
      </c>
      <c r="M1" s="101" t="s">
        <v>132</v>
      </c>
    </row>
    <row r="2" spans="1:13" ht="165" x14ac:dyDescent="0.25">
      <c r="A2" s="5">
        <v>1</v>
      </c>
      <c r="B2" s="5">
        <v>1</v>
      </c>
      <c r="C2" s="6">
        <v>1106176</v>
      </c>
      <c r="D2" s="7" t="s">
        <v>30</v>
      </c>
      <c r="E2" s="7" t="s">
        <v>4</v>
      </c>
      <c r="F2" s="8">
        <v>2000</v>
      </c>
      <c r="G2" s="8">
        <v>51214001</v>
      </c>
      <c r="H2" s="7" t="s">
        <v>8</v>
      </c>
      <c r="I2" s="3">
        <v>4000</v>
      </c>
      <c r="J2" s="9" t="s">
        <v>128</v>
      </c>
      <c r="K2" s="81">
        <v>1</v>
      </c>
      <c r="L2" s="24">
        <v>0</v>
      </c>
      <c r="M2" s="24">
        <f>L2*K2</f>
        <v>0</v>
      </c>
    </row>
    <row r="3" spans="1:13" ht="75" x14ac:dyDescent="0.25">
      <c r="A3" s="12">
        <v>2</v>
      </c>
      <c r="B3" s="63">
        <v>2</v>
      </c>
      <c r="C3" s="13">
        <v>1106176</v>
      </c>
      <c r="D3" s="14" t="s">
        <v>30</v>
      </c>
      <c r="E3" s="14" t="s">
        <v>4</v>
      </c>
      <c r="F3" s="15">
        <v>2000</v>
      </c>
      <c r="G3" s="15">
        <v>51214001</v>
      </c>
      <c r="H3" s="14" t="s">
        <v>8</v>
      </c>
      <c r="I3" s="102">
        <v>3000</v>
      </c>
      <c r="J3" s="16" t="s">
        <v>38</v>
      </c>
      <c r="K3" s="82">
        <v>1</v>
      </c>
      <c r="L3" s="24">
        <v>0</v>
      </c>
      <c r="M3" s="24">
        <f>L3*K3</f>
        <v>0</v>
      </c>
    </row>
    <row r="4" spans="1:13" ht="75" x14ac:dyDescent="0.25">
      <c r="A4" s="12">
        <v>2</v>
      </c>
      <c r="B4" s="63">
        <v>3</v>
      </c>
      <c r="C4" s="13">
        <v>1106176</v>
      </c>
      <c r="D4" s="14" t="s">
        <v>30</v>
      </c>
      <c r="E4" s="14" t="s">
        <v>4</v>
      </c>
      <c r="F4" s="15">
        <v>2000</v>
      </c>
      <c r="G4" s="15">
        <v>51214001</v>
      </c>
      <c r="H4" s="14" t="s">
        <v>8</v>
      </c>
      <c r="I4" s="103"/>
      <c r="J4" s="71" t="s">
        <v>125</v>
      </c>
      <c r="K4" s="82">
        <v>1</v>
      </c>
      <c r="L4" s="24">
        <v>0</v>
      </c>
      <c r="M4" s="24">
        <f>L4*K4</f>
        <v>0</v>
      </c>
    </row>
    <row r="5" spans="1:13" ht="63.75" x14ac:dyDescent="0.25">
      <c r="A5" s="11">
        <v>3</v>
      </c>
      <c r="B5" s="5">
        <v>4</v>
      </c>
      <c r="C5" s="6">
        <v>1106176</v>
      </c>
      <c r="D5" s="7" t="s">
        <v>9</v>
      </c>
      <c r="E5" s="7" t="s">
        <v>10</v>
      </c>
      <c r="F5" s="8">
        <v>5000</v>
      </c>
      <c r="G5" s="8">
        <v>12413002</v>
      </c>
      <c r="H5" s="7" t="s">
        <v>11</v>
      </c>
      <c r="I5" s="3">
        <v>18000</v>
      </c>
      <c r="J5" s="10" t="s">
        <v>39</v>
      </c>
      <c r="K5" s="83">
        <v>1</v>
      </c>
      <c r="L5" s="24">
        <v>0</v>
      </c>
      <c r="M5" s="24">
        <f>L5*K5</f>
        <v>0</v>
      </c>
    </row>
    <row r="6" spans="1:13" ht="63.75" x14ac:dyDescent="0.25">
      <c r="A6" s="11">
        <v>4</v>
      </c>
      <c r="B6" s="5">
        <v>5</v>
      </c>
      <c r="C6" s="6">
        <v>1106178</v>
      </c>
      <c r="D6" s="7" t="s">
        <v>12</v>
      </c>
      <c r="E6" s="7" t="s">
        <v>4</v>
      </c>
      <c r="F6" s="8">
        <v>2000</v>
      </c>
      <c r="G6" s="8">
        <v>51294002</v>
      </c>
      <c r="H6" s="7" t="s">
        <v>25</v>
      </c>
      <c r="I6" s="3">
        <v>3000</v>
      </c>
      <c r="J6" s="10" t="s">
        <v>129</v>
      </c>
      <c r="K6" s="83">
        <v>5</v>
      </c>
      <c r="L6" s="24">
        <v>0</v>
      </c>
      <c r="M6" s="24">
        <f>L6*K6</f>
        <v>0</v>
      </c>
    </row>
    <row r="7" spans="1:13" ht="63.75" x14ac:dyDescent="0.25">
      <c r="A7" s="11">
        <v>5</v>
      </c>
      <c r="B7" s="5">
        <v>6</v>
      </c>
      <c r="C7" s="6">
        <v>1106179</v>
      </c>
      <c r="D7" s="7" t="s">
        <v>13</v>
      </c>
      <c r="E7" s="7" t="s">
        <v>10</v>
      </c>
      <c r="F7" s="8">
        <v>5000</v>
      </c>
      <c r="G7" s="8">
        <v>12413002</v>
      </c>
      <c r="H7" s="7" t="s">
        <v>11</v>
      </c>
      <c r="I7" s="3">
        <v>28000</v>
      </c>
      <c r="J7" s="10" t="s">
        <v>41</v>
      </c>
      <c r="K7" s="83">
        <v>1</v>
      </c>
      <c r="L7" s="24">
        <v>0</v>
      </c>
      <c r="M7" s="24">
        <f t="shared" ref="M7:M70" si="0">L7*K7</f>
        <v>0</v>
      </c>
    </row>
    <row r="8" spans="1:13" ht="63.75" x14ac:dyDescent="0.25">
      <c r="A8" s="11">
        <v>6</v>
      </c>
      <c r="B8" s="5">
        <v>7</v>
      </c>
      <c r="C8" s="6">
        <v>1106179</v>
      </c>
      <c r="D8" s="7" t="s">
        <v>13</v>
      </c>
      <c r="E8" s="7" t="s">
        <v>10</v>
      </c>
      <c r="F8" s="8">
        <v>5000</v>
      </c>
      <c r="G8" s="8">
        <v>51294001</v>
      </c>
      <c r="H8" s="7" t="s">
        <v>29</v>
      </c>
      <c r="I8" s="3">
        <v>5000</v>
      </c>
      <c r="J8" s="10" t="s">
        <v>40</v>
      </c>
      <c r="K8" s="83">
        <v>4</v>
      </c>
      <c r="L8" s="24">
        <v>0</v>
      </c>
      <c r="M8" s="24">
        <f t="shared" si="0"/>
        <v>0</v>
      </c>
    </row>
    <row r="9" spans="1:13" ht="76.5" x14ac:dyDescent="0.25">
      <c r="A9" s="22">
        <v>7</v>
      </c>
      <c r="B9" s="22">
        <v>8</v>
      </c>
      <c r="C9" s="17">
        <v>1106183</v>
      </c>
      <c r="D9" s="18" t="s">
        <v>16</v>
      </c>
      <c r="E9" s="18" t="s">
        <v>10</v>
      </c>
      <c r="F9" s="19">
        <v>2000</v>
      </c>
      <c r="G9" s="19">
        <v>51214001</v>
      </c>
      <c r="H9" s="18" t="s">
        <v>8</v>
      </c>
      <c r="I9" s="104">
        <v>71049</v>
      </c>
      <c r="J9" s="20" t="s">
        <v>42</v>
      </c>
      <c r="K9" s="84">
        <v>1</v>
      </c>
      <c r="L9" s="24">
        <v>0</v>
      </c>
      <c r="M9" s="24">
        <f t="shared" si="0"/>
        <v>0</v>
      </c>
    </row>
    <row r="10" spans="1:13" ht="76.5" x14ac:dyDescent="0.25">
      <c r="A10" s="22">
        <v>7</v>
      </c>
      <c r="B10" s="22">
        <v>9</v>
      </c>
      <c r="C10" s="17">
        <v>1106183</v>
      </c>
      <c r="D10" s="18" t="s">
        <v>16</v>
      </c>
      <c r="E10" s="18" t="s">
        <v>10</v>
      </c>
      <c r="F10" s="19">
        <v>2000</v>
      </c>
      <c r="G10" s="19">
        <v>51214001</v>
      </c>
      <c r="H10" s="18" t="s">
        <v>8</v>
      </c>
      <c r="I10" s="105"/>
      <c r="J10" s="20" t="s">
        <v>43</v>
      </c>
      <c r="K10" s="84">
        <v>2</v>
      </c>
      <c r="L10" s="24">
        <v>0</v>
      </c>
      <c r="M10" s="24">
        <f t="shared" si="0"/>
        <v>0</v>
      </c>
    </row>
    <row r="11" spans="1:13" ht="76.5" x14ac:dyDescent="0.25">
      <c r="A11" s="22">
        <v>7</v>
      </c>
      <c r="B11" s="22">
        <v>10</v>
      </c>
      <c r="C11" s="17">
        <v>1106183</v>
      </c>
      <c r="D11" s="18" t="s">
        <v>16</v>
      </c>
      <c r="E11" s="18" t="s">
        <v>10</v>
      </c>
      <c r="F11" s="19">
        <v>2000</v>
      </c>
      <c r="G11" s="19">
        <v>51214001</v>
      </c>
      <c r="H11" s="18" t="s">
        <v>8</v>
      </c>
      <c r="I11" s="105"/>
      <c r="J11" s="20" t="s">
        <v>44</v>
      </c>
      <c r="K11" s="84">
        <v>5</v>
      </c>
      <c r="L11" s="24">
        <v>0</v>
      </c>
      <c r="M11" s="24">
        <f t="shared" si="0"/>
        <v>0</v>
      </c>
    </row>
    <row r="12" spans="1:13" ht="76.5" x14ac:dyDescent="0.25">
      <c r="A12" s="22">
        <v>7</v>
      </c>
      <c r="B12" s="22">
        <v>11</v>
      </c>
      <c r="C12" s="17">
        <v>1106183</v>
      </c>
      <c r="D12" s="18" t="s">
        <v>16</v>
      </c>
      <c r="E12" s="18" t="s">
        <v>10</v>
      </c>
      <c r="F12" s="19">
        <v>2000</v>
      </c>
      <c r="G12" s="19">
        <v>51214001</v>
      </c>
      <c r="H12" s="18" t="s">
        <v>8</v>
      </c>
      <c r="I12" s="105"/>
      <c r="J12" s="20" t="s">
        <v>45</v>
      </c>
      <c r="K12" s="84">
        <v>1</v>
      </c>
      <c r="L12" s="24">
        <v>0</v>
      </c>
      <c r="M12" s="24">
        <f t="shared" si="0"/>
        <v>0</v>
      </c>
    </row>
    <row r="13" spans="1:13" ht="76.5" x14ac:dyDescent="0.25">
      <c r="A13" s="22">
        <v>7</v>
      </c>
      <c r="B13" s="22">
        <v>12</v>
      </c>
      <c r="C13" s="17">
        <v>1106183</v>
      </c>
      <c r="D13" s="18" t="s">
        <v>16</v>
      </c>
      <c r="E13" s="18" t="s">
        <v>10</v>
      </c>
      <c r="F13" s="19">
        <v>2000</v>
      </c>
      <c r="G13" s="19">
        <v>51214001</v>
      </c>
      <c r="H13" s="18" t="s">
        <v>8</v>
      </c>
      <c r="I13" s="105"/>
      <c r="J13" s="20" t="s">
        <v>46</v>
      </c>
      <c r="K13" s="84">
        <v>10</v>
      </c>
      <c r="L13" s="24">
        <v>0</v>
      </c>
      <c r="M13" s="24">
        <f t="shared" si="0"/>
        <v>0</v>
      </c>
    </row>
    <row r="14" spans="1:13" ht="76.5" x14ac:dyDescent="0.25">
      <c r="A14" s="22">
        <v>7</v>
      </c>
      <c r="B14" s="22">
        <v>13</v>
      </c>
      <c r="C14" s="17">
        <v>1106183</v>
      </c>
      <c r="D14" s="18" t="s">
        <v>16</v>
      </c>
      <c r="E14" s="18" t="s">
        <v>10</v>
      </c>
      <c r="F14" s="19">
        <v>2000</v>
      </c>
      <c r="G14" s="19">
        <v>51214001</v>
      </c>
      <c r="H14" s="18" t="s">
        <v>8</v>
      </c>
      <c r="I14" s="105"/>
      <c r="J14" s="20" t="s">
        <v>47</v>
      </c>
      <c r="K14" s="84">
        <v>5</v>
      </c>
      <c r="L14" s="24">
        <v>0</v>
      </c>
      <c r="M14" s="24">
        <f t="shared" si="0"/>
        <v>0</v>
      </c>
    </row>
    <row r="15" spans="1:13" ht="76.5" x14ac:dyDescent="0.25">
      <c r="A15" s="22">
        <v>7</v>
      </c>
      <c r="B15" s="22">
        <v>14</v>
      </c>
      <c r="C15" s="17">
        <v>1106183</v>
      </c>
      <c r="D15" s="18" t="s">
        <v>16</v>
      </c>
      <c r="E15" s="18" t="s">
        <v>10</v>
      </c>
      <c r="F15" s="19">
        <v>2000</v>
      </c>
      <c r="G15" s="19">
        <v>51214001</v>
      </c>
      <c r="H15" s="18" t="s">
        <v>8</v>
      </c>
      <c r="I15" s="105"/>
      <c r="J15" s="20" t="s">
        <v>48</v>
      </c>
      <c r="K15" s="84">
        <v>3</v>
      </c>
      <c r="L15" s="24">
        <v>0</v>
      </c>
      <c r="M15" s="24">
        <f t="shared" si="0"/>
        <v>0</v>
      </c>
    </row>
    <row r="16" spans="1:13" ht="76.5" x14ac:dyDescent="0.25">
      <c r="A16" s="22">
        <v>7</v>
      </c>
      <c r="B16" s="22">
        <v>15</v>
      </c>
      <c r="C16" s="17">
        <v>1106183</v>
      </c>
      <c r="D16" s="18" t="s">
        <v>16</v>
      </c>
      <c r="E16" s="18" t="s">
        <v>10</v>
      </c>
      <c r="F16" s="19">
        <v>2000</v>
      </c>
      <c r="G16" s="19">
        <v>51214001</v>
      </c>
      <c r="H16" s="18" t="s">
        <v>8</v>
      </c>
      <c r="I16" s="105"/>
      <c r="J16" s="20" t="s">
        <v>49</v>
      </c>
      <c r="K16" s="84">
        <v>4</v>
      </c>
      <c r="L16" s="24">
        <v>0</v>
      </c>
      <c r="M16" s="24">
        <f t="shared" si="0"/>
        <v>0</v>
      </c>
    </row>
    <row r="17" spans="1:13" ht="76.5" x14ac:dyDescent="0.25">
      <c r="A17" s="22">
        <v>7</v>
      </c>
      <c r="B17" s="22">
        <v>16</v>
      </c>
      <c r="C17" s="17">
        <v>1106183</v>
      </c>
      <c r="D17" s="18" t="s">
        <v>16</v>
      </c>
      <c r="E17" s="18" t="s">
        <v>10</v>
      </c>
      <c r="F17" s="19">
        <v>2000</v>
      </c>
      <c r="G17" s="19">
        <v>51214001</v>
      </c>
      <c r="H17" s="18" t="s">
        <v>8</v>
      </c>
      <c r="I17" s="105"/>
      <c r="J17" s="20" t="s">
        <v>50</v>
      </c>
      <c r="K17" s="84">
        <v>2</v>
      </c>
      <c r="L17" s="24">
        <v>0</v>
      </c>
      <c r="M17" s="24">
        <f t="shared" si="0"/>
        <v>0</v>
      </c>
    </row>
    <row r="18" spans="1:13" ht="76.5" x14ac:dyDescent="0.25">
      <c r="A18" s="22">
        <v>7</v>
      </c>
      <c r="B18" s="22">
        <v>17</v>
      </c>
      <c r="C18" s="17">
        <v>1106183</v>
      </c>
      <c r="D18" s="18" t="s">
        <v>16</v>
      </c>
      <c r="E18" s="18" t="s">
        <v>10</v>
      </c>
      <c r="F18" s="19">
        <v>2000</v>
      </c>
      <c r="G18" s="19">
        <v>51214001</v>
      </c>
      <c r="H18" s="18" t="s">
        <v>8</v>
      </c>
      <c r="I18" s="105"/>
      <c r="J18" s="20" t="s">
        <v>51</v>
      </c>
      <c r="K18" s="84">
        <v>5</v>
      </c>
      <c r="L18" s="24">
        <v>0</v>
      </c>
      <c r="M18" s="24">
        <f t="shared" si="0"/>
        <v>0</v>
      </c>
    </row>
    <row r="19" spans="1:13" ht="76.5" x14ac:dyDescent="0.25">
      <c r="A19" s="22">
        <v>7</v>
      </c>
      <c r="B19" s="22">
        <v>18</v>
      </c>
      <c r="C19" s="17">
        <v>1106183</v>
      </c>
      <c r="D19" s="18" t="s">
        <v>16</v>
      </c>
      <c r="E19" s="18" t="s">
        <v>10</v>
      </c>
      <c r="F19" s="19">
        <v>2000</v>
      </c>
      <c r="G19" s="19">
        <v>51214001</v>
      </c>
      <c r="H19" s="18" t="s">
        <v>8</v>
      </c>
      <c r="I19" s="105"/>
      <c r="J19" s="20" t="s">
        <v>52</v>
      </c>
      <c r="K19" s="84">
        <v>1</v>
      </c>
      <c r="L19" s="24">
        <v>0</v>
      </c>
      <c r="M19" s="24">
        <f t="shared" si="0"/>
        <v>0</v>
      </c>
    </row>
    <row r="20" spans="1:13" ht="76.5" x14ac:dyDescent="0.25">
      <c r="A20" s="22">
        <v>7</v>
      </c>
      <c r="B20" s="22">
        <v>19</v>
      </c>
      <c r="C20" s="17">
        <v>1106183</v>
      </c>
      <c r="D20" s="18" t="s">
        <v>16</v>
      </c>
      <c r="E20" s="18" t="s">
        <v>10</v>
      </c>
      <c r="F20" s="19">
        <v>2000</v>
      </c>
      <c r="G20" s="19">
        <v>51214001</v>
      </c>
      <c r="H20" s="18" t="s">
        <v>8</v>
      </c>
      <c r="I20" s="105"/>
      <c r="J20" s="20" t="s">
        <v>53</v>
      </c>
      <c r="K20" s="84">
        <v>3</v>
      </c>
      <c r="L20" s="24">
        <v>0</v>
      </c>
      <c r="M20" s="24">
        <f t="shared" si="0"/>
        <v>0</v>
      </c>
    </row>
    <row r="21" spans="1:13" ht="76.5" x14ac:dyDescent="0.25">
      <c r="A21" s="22">
        <v>7</v>
      </c>
      <c r="B21" s="22">
        <v>20</v>
      </c>
      <c r="C21" s="17">
        <v>1106183</v>
      </c>
      <c r="D21" s="18" t="s">
        <v>16</v>
      </c>
      <c r="E21" s="18" t="s">
        <v>10</v>
      </c>
      <c r="F21" s="19">
        <v>2000</v>
      </c>
      <c r="G21" s="19">
        <v>51214001</v>
      </c>
      <c r="H21" s="18" t="s">
        <v>8</v>
      </c>
      <c r="I21" s="105"/>
      <c r="J21" s="20" t="s">
        <v>54</v>
      </c>
      <c r="K21" s="84">
        <v>10</v>
      </c>
      <c r="L21" s="24">
        <v>0</v>
      </c>
      <c r="M21" s="24">
        <f t="shared" si="0"/>
        <v>0</v>
      </c>
    </row>
    <row r="22" spans="1:13" ht="76.5" x14ac:dyDescent="0.25">
      <c r="A22" s="22">
        <v>7</v>
      </c>
      <c r="B22" s="22">
        <v>21</v>
      </c>
      <c r="C22" s="17">
        <v>1106183</v>
      </c>
      <c r="D22" s="18" t="s">
        <v>16</v>
      </c>
      <c r="E22" s="18" t="s">
        <v>10</v>
      </c>
      <c r="F22" s="19">
        <v>2000</v>
      </c>
      <c r="G22" s="19">
        <v>51214001</v>
      </c>
      <c r="H22" s="18" t="s">
        <v>8</v>
      </c>
      <c r="I22" s="105"/>
      <c r="J22" s="20" t="s">
        <v>55</v>
      </c>
      <c r="K22" s="84">
        <v>5</v>
      </c>
      <c r="L22" s="24">
        <v>0</v>
      </c>
      <c r="M22" s="24">
        <f t="shared" si="0"/>
        <v>0</v>
      </c>
    </row>
    <row r="23" spans="1:13" ht="76.5" x14ac:dyDescent="0.25">
      <c r="A23" s="22">
        <v>7</v>
      </c>
      <c r="B23" s="22">
        <v>22</v>
      </c>
      <c r="C23" s="17">
        <v>1106183</v>
      </c>
      <c r="D23" s="18" t="s">
        <v>16</v>
      </c>
      <c r="E23" s="18" t="s">
        <v>10</v>
      </c>
      <c r="F23" s="19">
        <v>2000</v>
      </c>
      <c r="G23" s="19">
        <v>51214001</v>
      </c>
      <c r="H23" s="18" t="s">
        <v>8</v>
      </c>
      <c r="I23" s="105"/>
      <c r="J23" s="20" t="s">
        <v>56</v>
      </c>
      <c r="K23" s="84">
        <v>10</v>
      </c>
      <c r="L23" s="24">
        <v>0</v>
      </c>
      <c r="M23" s="24">
        <f t="shared" si="0"/>
        <v>0</v>
      </c>
    </row>
    <row r="24" spans="1:13" ht="76.5" x14ac:dyDescent="0.25">
      <c r="A24" s="22">
        <v>7</v>
      </c>
      <c r="B24" s="22">
        <v>23</v>
      </c>
      <c r="C24" s="17">
        <v>1106183</v>
      </c>
      <c r="D24" s="18" t="s">
        <v>16</v>
      </c>
      <c r="E24" s="18" t="s">
        <v>10</v>
      </c>
      <c r="F24" s="19">
        <v>2000</v>
      </c>
      <c r="G24" s="19">
        <v>51214001</v>
      </c>
      <c r="H24" s="18" t="s">
        <v>8</v>
      </c>
      <c r="I24" s="105"/>
      <c r="J24" s="20" t="s">
        <v>57</v>
      </c>
      <c r="K24" s="84">
        <v>10</v>
      </c>
      <c r="L24" s="24">
        <v>0</v>
      </c>
      <c r="M24" s="24">
        <f t="shared" si="0"/>
        <v>0</v>
      </c>
    </row>
    <row r="25" spans="1:13" ht="76.5" x14ac:dyDescent="0.25">
      <c r="A25" s="22">
        <v>7</v>
      </c>
      <c r="B25" s="22">
        <v>24</v>
      </c>
      <c r="C25" s="17">
        <v>1106183</v>
      </c>
      <c r="D25" s="18" t="s">
        <v>16</v>
      </c>
      <c r="E25" s="18" t="s">
        <v>10</v>
      </c>
      <c r="F25" s="19">
        <v>2000</v>
      </c>
      <c r="G25" s="19">
        <v>51214001</v>
      </c>
      <c r="H25" s="18" t="s">
        <v>8</v>
      </c>
      <c r="I25" s="105"/>
      <c r="J25" s="20" t="s">
        <v>58</v>
      </c>
      <c r="K25" s="84">
        <v>5</v>
      </c>
      <c r="L25" s="24">
        <v>0</v>
      </c>
      <c r="M25" s="24">
        <f t="shared" si="0"/>
        <v>0</v>
      </c>
    </row>
    <row r="26" spans="1:13" ht="76.5" x14ac:dyDescent="0.25">
      <c r="A26" s="22">
        <v>7</v>
      </c>
      <c r="B26" s="22">
        <v>25</v>
      </c>
      <c r="C26" s="17">
        <v>1106183</v>
      </c>
      <c r="D26" s="18" t="s">
        <v>16</v>
      </c>
      <c r="E26" s="18" t="s">
        <v>10</v>
      </c>
      <c r="F26" s="19">
        <v>2000</v>
      </c>
      <c r="G26" s="19">
        <v>51214001</v>
      </c>
      <c r="H26" s="18" t="s">
        <v>8</v>
      </c>
      <c r="I26" s="105"/>
      <c r="J26" s="20" t="s">
        <v>59</v>
      </c>
      <c r="K26" s="84">
        <v>1</v>
      </c>
      <c r="L26" s="24">
        <v>0</v>
      </c>
      <c r="M26" s="24">
        <f t="shared" si="0"/>
        <v>0</v>
      </c>
    </row>
    <row r="27" spans="1:13" ht="76.5" x14ac:dyDescent="0.25">
      <c r="A27" s="22">
        <v>7</v>
      </c>
      <c r="B27" s="22">
        <v>26</v>
      </c>
      <c r="C27" s="17">
        <v>1106183</v>
      </c>
      <c r="D27" s="18" t="s">
        <v>16</v>
      </c>
      <c r="E27" s="18" t="s">
        <v>10</v>
      </c>
      <c r="F27" s="19">
        <v>2000</v>
      </c>
      <c r="G27" s="19">
        <v>51214001</v>
      </c>
      <c r="H27" s="18" t="s">
        <v>8</v>
      </c>
      <c r="I27" s="105"/>
      <c r="J27" s="20" t="s">
        <v>60</v>
      </c>
      <c r="K27" s="84">
        <v>4</v>
      </c>
      <c r="L27" s="24">
        <v>0</v>
      </c>
      <c r="M27" s="24">
        <f t="shared" si="0"/>
        <v>0</v>
      </c>
    </row>
    <row r="28" spans="1:13" ht="76.5" x14ac:dyDescent="0.25">
      <c r="A28" s="22">
        <v>7</v>
      </c>
      <c r="B28" s="22">
        <v>27</v>
      </c>
      <c r="C28" s="17">
        <v>1106183</v>
      </c>
      <c r="D28" s="18" t="s">
        <v>16</v>
      </c>
      <c r="E28" s="18" t="s">
        <v>10</v>
      </c>
      <c r="F28" s="19">
        <v>2000</v>
      </c>
      <c r="G28" s="19">
        <v>51214001</v>
      </c>
      <c r="H28" s="18" t="s">
        <v>8</v>
      </c>
      <c r="I28" s="105"/>
      <c r="J28" s="21" t="s">
        <v>61</v>
      </c>
      <c r="K28" s="84">
        <v>4</v>
      </c>
      <c r="L28" s="24">
        <v>0</v>
      </c>
      <c r="M28" s="24">
        <f t="shared" si="0"/>
        <v>0</v>
      </c>
    </row>
    <row r="29" spans="1:13" ht="76.5" x14ac:dyDescent="0.25">
      <c r="A29" s="22">
        <v>7</v>
      </c>
      <c r="B29" s="22">
        <v>28</v>
      </c>
      <c r="C29" s="17">
        <v>1106183</v>
      </c>
      <c r="D29" s="18" t="s">
        <v>16</v>
      </c>
      <c r="E29" s="18" t="s">
        <v>10</v>
      </c>
      <c r="F29" s="19">
        <v>2000</v>
      </c>
      <c r="G29" s="19">
        <v>51214001</v>
      </c>
      <c r="H29" s="18" t="s">
        <v>8</v>
      </c>
      <c r="I29" s="105"/>
      <c r="J29" s="20" t="s">
        <v>62</v>
      </c>
      <c r="K29" s="84">
        <v>1</v>
      </c>
      <c r="L29" s="24">
        <v>0</v>
      </c>
      <c r="M29" s="24">
        <f t="shared" si="0"/>
        <v>0</v>
      </c>
    </row>
    <row r="30" spans="1:13" ht="76.5" x14ac:dyDescent="0.25">
      <c r="A30" s="22">
        <v>7</v>
      </c>
      <c r="B30" s="22">
        <v>29</v>
      </c>
      <c r="C30" s="17">
        <v>1106183</v>
      </c>
      <c r="D30" s="18" t="s">
        <v>16</v>
      </c>
      <c r="E30" s="18" t="s">
        <v>10</v>
      </c>
      <c r="F30" s="19">
        <v>2000</v>
      </c>
      <c r="G30" s="19">
        <v>51214001</v>
      </c>
      <c r="H30" s="18" t="s">
        <v>8</v>
      </c>
      <c r="I30" s="105"/>
      <c r="J30" s="20" t="s">
        <v>63</v>
      </c>
      <c r="K30" s="84">
        <v>1</v>
      </c>
      <c r="L30" s="24">
        <v>0</v>
      </c>
      <c r="M30" s="24">
        <f t="shared" si="0"/>
        <v>0</v>
      </c>
    </row>
    <row r="31" spans="1:13" ht="76.5" x14ac:dyDescent="0.25">
      <c r="A31" s="22">
        <v>7</v>
      </c>
      <c r="B31" s="22">
        <v>30</v>
      </c>
      <c r="C31" s="17">
        <v>1106183</v>
      </c>
      <c r="D31" s="18" t="s">
        <v>16</v>
      </c>
      <c r="E31" s="18" t="s">
        <v>10</v>
      </c>
      <c r="F31" s="19">
        <v>2000</v>
      </c>
      <c r="G31" s="19">
        <v>51214001</v>
      </c>
      <c r="H31" s="18" t="s">
        <v>8</v>
      </c>
      <c r="I31" s="105"/>
      <c r="J31" s="20" t="s">
        <v>83</v>
      </c>
      <c r="K31" s="84">
        <v>3</v>
      </c>
      <c r="L31" s="24">
        <v>0</v>
      </c>
      <c r="M31" s="24">
        <f t="shared" si="0"/>
        <v>0</v>
      </c>
    </row>
    <row r="32" spans="1:13" ht="76.5" x14ac:dyDescent="0.25">
      <c r="A32" s="22">
        <v>7</v>
      </c>
      <c r="B32" s="22">
        <v>31</v>
      </c>
      <c r="C32" s="17">
        <v>1106183</v>
      </c>
      <c r="D32" s="18" t="s">
        <v>16</v>
      </c>
      <c r="E32" s="18" t="s">
        <v>10</v>
      </c>
      <c r="F32" s="19">
        <v>2000</v>
      </c>
      <c r="G32" s="19">
        <v>51214001</v>
      </c>
      <c r="H32" s="18" t="s">
        <v>8</v>
      </c>
      <c r="I32" s="105"/>
      <c r="J32" s="20" t="s">
        <v>64</v>
      </c>
      <c r="K32" s="84">
        <v>20</v>
      </c>
      <c r="L32" s="24">
        <v>0</v>
      </c>
      <c r="M32" s="24">
        <f t="shared" si="0"/>
        <v>0</v>
      </c>
    </row>
    <row r="33" spans="1:13" ht="76.5" x14ac:dyDescent="0.25">
      <c r="A33" s="22">
        <v>7</v>
      </c>
      <c r="B33" s="22">
        <v>32</v>
      </c>
      <c r="C33" s="17">
        <v>1106183</v>
      </c>
      <c r="D33" s="18" t="s">
        <v>16</v>
      </c>
      <c r="E33" s="18" t="s">
        <v>10</v>
      </c>
      <c r="F33" s="19">
        <v>2000</v>
      </c>
      <c r="G33" s="19">
        <v>51214001</v>
      </c>
      <c r="H33" s="18" t="s">
        <v>8</v>
      </c>
      <c r="I33" s="105"/>
      <c r="J33" s="20" t="s">
        <v>65</v>
      </c>
      <c r="K33" s="84">
        <v>1</v>
      </c>
      <c r="L33" s="24">
        <v>0</v>
      </c>
      <c r="M33" s="24">
        <f t="shared" si="0"/>
        <v>0</v>
      </c>
    </row>
    <row r="34" spans="1:13" ht="76.5" x14ac:dyDescent="0.25">
      <c r="A34" s="22">
        <v>7</v>
      </c>
      <c r="B34" s="22">
        <v>33</v>
      </c>
      <c r="C34" s="17">
        <v>1106183</v>
      </c>
      <c r="D34" s="18" t="s">
        <v>16</v>
      </c>
      <c r="E34" s="18" t="s">
        <v>10</v>
      </c>
      <c r="F34" s="19">
        <v>2000</v>
      </c>
      <c r="G34" s="19">
        <v>51214001</v>
      </c>
      <c r="H34" s="18" t="s">
        <v>8</v>
      </c>
      <c r="I34" s="105"/>
      <c r="J34" s="20" t="s">
        <v>66</v>
      </c>
      <c r="K34" s="84">
        <v>2</v>
      </c>
      <c r="L34" s="24">
        <v>0</v>
      </c>
      <c r="M34" s="24">
        <f t="shared" si="0"/>
        <v>0</v>
      </c>
    </row>
    <row r="35" spans="1:13" ht="76.5" x14ac:dyDescent="0.25">
      <c r="A35" s="22">
        <v>7</v>
      </c>
      <c r="B35" s="22">
        <v>34</v>
      </c>
      <c r="C35" s="17">
        <v>1106183</v>
      </c>
      <c r="D35" s="18" t="s">
        <v>16</v>
      </c>
      <c r="E35" s="18" t="s">
        <v>10</v>
      </c>
      <c r="F35" s="19">
        <v>2000</v>
      </c>
      <c r="G35" s="19">
        <v>51214001</v>
      </c>
      <c r="H35" s="18" t="s">
        <v>8</v>
      </c>
      <c r="I35" s="105"/>
      <c r="J35" s="20" t="s">
        <v>67</v>
      </c>
      <c r="K35" s="84">
        <v>1</v>
      </c>
      <c r="L35" s="24">
        <v>0</v>
      </c>
      <c r="M35" s="24">
        <f t="shared" si="0"/>
        <v>0</v>
      </c>
    </row>
    <row r="36" spans="1:13" ht="76.5" x14ac:dyDescent="0.25">
      <c r="A36" s="22">
        <v>7</v>
      </c>
      <c r="B36" s="22">
        <v>35</v>
      </c>
      <c r="C36" s="17">
        <v>1106183</v>
      </c>
      <c r="D36" s="18" t="s">
        <v>16</v>
      </c>
      <c r="E36" s="18" t="s">
        <v>10</v>
      </c>
      <c r="F36" s="19">
        <v>2000</v>
      </c>
      <c r="G36" s="19">
        <v>51214001</v>
      </c>
      <c r="H36" s="18" t="s">
        <v>8</v>
      </c>
      <c r="I36" s="105"/>
      <c r="J36" s="20" t="s">
        <v>68</v>
      </c>
      <c r="K36" s="84">
        <v>1</v>
      </c>
      <c r="L36" s="24">
        <v>0</v>
      </c>
      <c r="M36" s="24">
        <f t="shared" si="0"/>
        <v>0</v>
      </c>
    </row>
    <row r="37" spans="1:13" ht="76.5" x14ac:dyDescent="0.25">
      <c r="A37" s="22">
        <v>7</v>
      </c>
      <c r="B37" s="22">
        <v>36</v>
      </c>
      <c r="C37" s="17">
        <v>1106183</v>
      </c>
      <c r="D37" s="18" t="s">
        <v>16</v>
      </c>
      <c r="E37" s="18" t="s">
        <v>10</v>
      </c>
      <c r="F37" s="19">
        <v>2000</v>
      </c>
      <c r="G37" s="19">
        <v>51214001</v>
      </c>
      <c r="H37" s="18" t="s">
        <v>8</v>
      </c>
      <c r="I37" s="105"/>
      <c r="J37" s="20" t="s">
        <v>69</v>
      </c>
      <c r="K37" s="84">
        <v>6</v>
      </c>
      <c r="L37" s="24">
        <v>0</v>
      </c>
      <c r="M37" s="24">
        <f t="shared" si="0"/>
        <v>0</v>
      </c>
    </row>
    <row r="38" spans="1:13" ht="76.5" x14ac:dyDescent="0.25">
      <c r="A38" s="22">
        <v>7</v>
      </c>
      <c r="B38" s="22">
        <v>37</v>
      </c>
      <c r="C38" s="17">
        <v>1106183</v>
      </c>
      <c r="D38" s="18" t="s">
        <v>16</v>
      </c>
      <c r="E38" s="18" t="s">
        <v>10</v>
      </c>
      <c r="F38" s="19">
        <v>2000</v>
      </c>
      <c r="G38" s="19">
        <v>51214001</v>
      </c>
      <c r="H38" s="18" t="s">
        <v>8</v>
      </c>
      <c r="I38" s="105"/>
      <c r="J38" s="20" t="s">
        <v>70</v>
      </c>
      <c r="K38" s="84">
        <v>5</v>
      </c>
      <c r="L38" s="24">
        <v>0</v>
      </c>
      <c r="M38" s="24">
        <f t="shared" si="0"/>
        <v>0</v>
      </c>
    </row>
    <row r="39" spans="1:13" ht="76.5" x14ac:dyDescent="0.25">
      <c r="A39" s="22">
        <v>7</v>
      </c>
      <c r="B39" s="22">
        <v>38</v>
      </c>
      <c r="C39" s="17">
        <v>1106183</v>
      </c>
      <c r="D39" s="18" t="s">
        <v>16</v>
      </c>
      <c r="E39" s="18" t="s">
        <v>10</v>
      </c>
      <c r="F39" s="19">
        <v>2000</v>
      </c>
      <c r="G39" s="19">
        <v>51214001</v>
      </c>
      <c r="H39" s="18" t="s">
        <v>8</v>
      </c>
      <c r="I39" s="106"/>
      <c r="J39" s="20" t="s">
        <v>71</v>
      </c>
      <c r="K39" s="84">
        <v>1</v>
      </c>
      <c r="L39" s="24">
        <v>0</v>
      </c>
      <c r="M39" s="24">
        <f t="shared" si="0"/>
        <v>0</v>
      </c>
    </row>
    <row r="40" spans="1:13" s="24" customFormat="1" ht="75" x14ac:dyDescent="0.25">
      <c r="A40" s="25">
        <v>8</v>
      </c>
      <c r="B40" s="64">
        <v>39</v>
      </c>
      <c r="C40" s="26">
        <v>1106183</v>
      </c>
      <c r="D40" s="27" t="s">
        <v>16</v>
      </c>
      <c r="E40" s="27" t="s">
        <v>10</v>
      </c>
      <c r="F40" s="28">
        <v>3000</v>
      </c>
      <c r="G40" s="28">
        <v>51327001</v>
      </c>
      <c r="H40" s="27" t="s">
        <v>17</v>
      </c>
      <c r="I40" s="107">
        <v>20000</v>
      </c>
      <c r="J40" s="29" t="s">
        <v>72</v>
      </c>
      <c r="K40" s="85">
        <v>12</v>
      </c>
      <c r="L40" s="24">
        <v>0</v>
      </c>
      <c r="M40" s="24">
        <f t="shared" si="0"/>
        <v>0</v>
      </c>
    </row>
    <row r="41" spans="1:13" ht="75" x14ac:dyDescent="0.25">
      <c r="A41" s="30">
        <v>8</v>
      </c>
      <c r="B41" s="64">
        <v>40</v>
      </c>
      <c r="C41" s="26">
        <v>1106183</v>
      </c>
      <c r="D41" s="27" t="s">
        <v>16</v>
      </c>
      <c r="E41" s="27" t="s">
        <v>10</v>
      </c>
      <c r="F41" s="28">
        <v>3000</v>
      </c>
      <c r="G41" s="28">
        <v>51327001</v>
      </c>
      <c r="H41" s="27" t="s">
        <v>17</v>
      </c>
      <c r="I41" s="108"/>
      <c r="J41" s="31" t="s">
        <v>75</v>
      </c>
      <c r="K41" s="86">
        <v>2</v>
      </c>
      <c r="L41" s="24">
        <v>0</v>
      </c>
      <c r="M41" s="24">
        <f t="shared" si="0"/>
        <v>0</v>
      </c>
    </row>
    <row r="42" spans="1:13" ht="75" x14ac:dyDescent="0.25">
      <c r="A42" s="32">
        <v>9</v>
      </c>
      <c r="B42" s="65">
        <v>41</v>
      </c>
      <c r="C42" s="32">
        <v>1106183</v>
      </c>
      <c r="D42" s="33" t="s">
        <v>16</v>
      </c>
      <c r="E42" s="33" t="s">
        <v>10</v>
      </c>
      <c r="F42" s="32">
        <v>3000</v>
      </c>
      <c r="G42" s="32">
        <v>51334002</v>
      </c>
      <c r="H42" s="33" t="s">
        <v>6</v>
      </c>
      <c r="I42" s="23">
        <v>20000</v>
      </c>
      <c r="J42" s="32"/>
      <c r="K42" s="87">
        <v>1</v>
      </c>
      <c r="L42" s="24">
        <v>0</v>
      </c>
      <c r="M42" s="24">
        <f t="shared" si="0"/>
        <v>0</v>
      </c>
    </row>
    <row r="43" spans="1:13" ht="165" x14ac:dyDescent="0.25">
      <c r="A43" s="34">
        <v>10</v>
      </c>
      <c r="B43" s="66">
        <v>42</v>
      </c>
      <c r="C43" s="34">
        <v>1106183</v>
      </c>
      <c r="D43" s="35" t="s">
        <v>16</v>
      </c>
      <c r="E43" s="35" t="s">
        <v>10</v>
      </c>
      <c r="F43" s="34">
        <v>5000</v>
      </c>
      <c r="G43" s="34">
        <v>12413002</v>
      </c>
      <c r="H43" s="35" t="s">
        <v>11</v>
      </c>
      <c r="I43" s="109">
        <v>220000</v>
      </c>
      <c r="J43" s="36" t="s">
        <v>74</v>
      </c>
      <c r="K43" s="88">
        <v>8</v>
      </c>
      <c r="L43" s="24">
        <v>0</v>
      </c>
      <c r="M43" s="24">
        <f t="shared" si="0"/>
        <v>0</v>
      </c>
    </row>
    <row r="44" spans="1:13" ht="120" x14ac:dyDescent="0.25">
      <c r="A44" s="34">
        <v>10</v>
      </c>
      <c r="B44" s="66">
        <v>43</v>
      </c>
      <c r="C44" s="34">
        <v>1106183</v>
      </c>
      <c r="D44" s="35" t="s">
        <v>16</v>
      </c>
      <c r="E44" s="35" t="s">
        <v>10</v>
      </c>
      <c r="F44" s="34">
        <v>5000</v>
      </c>
      <c r="G44" s="34">
        <v>12413002</v>
      </c>
      <c r="H44" s="35" t="s">
        <v>11</v>
      </c>
      <c r="I44" s="110"/>
      <c r="J44" s="36" t="s">
        <v>73</v>
      </c>
      <c r="K44" s="88">
        <v>1</v>
      </c>
      <c r="L44" s="24">
        <v>0</v>
      </c>
      <c r="M44" s="24">
        <f t="shared" si="0"/>
        <v>0</v>
      </c>
    </row>
    <row r="45" spans="1:13" ht="75" x14ac:dyDescent="0.25">
      <c r="A45" s="34">
        <v>10</v>
      </c>
      <c r="B45" s="66">
        <v>44</v>
      </c>
      <c r="C45" s="34">
        <v>1106183</v>
      </c>
      <c r="D45" s="35" t="s">
        <v>16</v>
      </c>
      <c r="E45" s="35" t="s">
        <v>10</v>
      </c>
      <c r="F45" s="34">
        <v>5000</v>
      </c>
      <c r="G45" s="34">
        <v>12413002</v>
      </c>
      <c r="H45" s="35" t="s">
        <v>11</v>
      </c>
      <c r="I45" s="110"/>
      <c r="J45" s="35" t="s">
        <v>76</v>
      </c>
      <c r="K45" s="88">
        <v>1</v>
      </c>
      <c r="L45" s="24">
        <v>0</v>
      </c>
      <c r="M45" s="24">
        <f t="shared" si="0"/>
        <v>0</v>
      </c>
    </row>
    <row r="46" spans="1:13" ht="75" x14ac:dyDescent="0.25">
      <c r="A46" s="34">
        <v>10</v>
      </c>
      <c r="B46" s="66">
        <v>45</v>
      </c>
      <c r="C46" s="34">
        <v>1106183</v>
      </c>
      <c r="D46" s="35" t="s">
        <v>16</v>
      </c>
      <c r="E46" s="35" t="s">
        <v>10</v>
      </c>
      <c r="F46" s="34">
        <v>5000</v>
      </c>
      <c r="G46" s="34">
        <v>12413002</v>
      </c>
      <c r="H46" s="35" t="s">
        <v>11</v>
      </c>
      <c r="I46" s="110"/>
      <c r="J46" s="35" t="s">
        <v>77</v>
      </c>
      <c r="K46" s="88">
        <v>3</v>
      </c>
      <c r="L46" s="24">
        <v>0</v>
      </c>
      <c r="M46" s="24">
        <f t="shared" si="0"/>
        <v>0</v>
      </c>
    </row>
    <row r="47" spans="1:13" ht="75" x14ac:dyDescent="0.25">
      <c r="A47" s="34">
        <v>10</v>
      </c>
      <c r="B47" s="66">
        <v>46</v>
      </c>
      <c r="C47" s="34">
        <v>1106183</v>
      </c>
      <c r="D47" s="35" t="s">
        <v>16</v>
      </c>
      <c r="E47" s="35" t="s">
        <v>10</v>
      </c>
      <c r="F47" s="34">
        <v>5000</v>
      </c>
      <c r="G47" s="34">
        <v>12413002</v>
      </c>
      <c r="H47" s="35" t="s">
        <v>11</v>
      </c>
      <c r="I47" s="110"/>
      <c r="J47" s="35" t="s">
        <v>119</v>
      </c>
      <c r="K47" s="88">
        <v>3</v>
      </c>
      <c r="L47" s="24">
        <v>0</v>
      </c>
      <c r="M47" s="24">
        <f t="shared" si="0"/>
        <v>0</v>
      </c>
    </row>
    <row r="48" spans="1:13" ht="75" x14ac:dyDescent="0.25">
      <c r="A48" s="34">
        <v>10</v>
      </c>
      <c r="B48" s="66">
        <v>47</v>
      </c>
      <c r="C48" s="34">
        <v>1106183</v>
      </c>
      <c r="D48" s="35" t="s">
        <v>16</v>
      </c>
      <c r="E48" s="35" t="s">
        <v>10</v>
      </c>
      <c r="F48" s="34">
        <v>5000</v>
      </c>
      <c r="G48" s="34">
        <v>12413002</v>
      </c>
      <c r="H48" s="35" t="s">
        <v>11</v>
      </c>
      <c r="I48" s="110"/>
      <c r="J48" s="35" t="s">
        <v>116</v>
      </c>
      <c r="K48" s="88">
        <v>3</v>
      </c>
      <c r="L48" s="24">
        <v>0</v>
      </c>
      <c r="M48" s="24">
        <f t="shared" si="0"/>
        <v>0</v>
      </c>
    </row>
    <row r="49" spans="1:15" ht="75" x14ac:dyDescent="0.25">
      <c r="A49" s="34">
        <v>10</v>
      </c>
      <c r="B49" s="66">
        <v>48</v>
      </c>
      <c r="C49" s="34">
        <v>1106183</v>
      </c>
      <c r="D49" s="35" t="s">
        <v>16</v>
      </c>
      <c r="E49" s="35" t="s">
        <v>10</v>
      </c>
      <c r="F49" s="34">
        <v>5000</v>
      </c>
      <c r="G49" s="34">
        <v>12413002</v>
      </c>
      <c r="H49" s="35" t="s">
        <v>11</v>
      </c>
      <c r="I49" s="110"/>
      <c r="J49" s="35" t="s">
        <v>118</v>
      </c>
      <c r="K49" s="88">
        <v>3</v>
      </c>
      <c r="L49" s="24">
        <v>0</v>
      </c>
      <c r="M49" s="24">
        <f t="shared" si="0"/>
        <v>0</v>
      </c>
    </row>
    <row r="50" spans="1:15" ht="75" x14ac:dyDescent="0.25">
      <c r="A50" s="34">
        <v>10</v>
      </c>
      <c r="B50" s="66">
        <v>49</v>
      </c>
      <c r="C50" s="34">
        <v>1106183</v>
      </c>
      <c r="D50" s="35" t="s">
        <v>16</v>
      </c>
      <c r="E50" s="35" t="s">
        <v>10</v>
      </c>
      <c r="F50" s="34">
        <v>5000</v>
      </c>
      <c r="G50" s="34">
        <v>12413002</v>
      </c>
      <c r="H50" s="35" t="s">
        <v>11</v>
      </c>
      <c r="I50" s="111"/>
      <c r="J50" s="35" t="s">
        <v>117</v>
      </c>
      <c r="K50" s="88">
        <v>1</v>
      </c>
      <c r="L50" s="24">
        <v>0</v>
      </c>
      <c r="M50" s="24">
        <f t="shared" si="0"/>
        <v>0</v>
      </c>
    </row>
    <row r="51" spans="1:15" ht="75" x14ac:dyDescent="0.25">
      <c r="A51" s="37">
        <v>11</v>
      </c>
      <c r="B51" s="67">
        <v>50</v>
      </c>
      <c r="C51" s="37">
        <v>1106183</v>
      </c>
      <c r="D51" s="38" t="s">
        <v>16</v>
      </c>
      <c r="E51" s="38" t="s">
        <v>10</v>
      </c>
      <c r="F51" s="37">
        <v>5000</v>
      </c>
      <c r="G51" s="37">
        <v>12511001</v>
      </c>
      <c r="H51" s="38" t="s">
        <v>18</v>
      </c>
      <c r="I51" s="112">
        <v>30000</v>
      </c>
      <c r="J51" s="38" t="s">
        <v>78</v>
      </c>
      <c r="K51" s="89">
        <v>1</v>
      </c>
      <c r="L51" s="24">
        <v>0</v>
      </c>
      <c r="M51" s="24">
        <f t="shared" si="0"/>
        <v>0</v>
      </c>
    </row>
    <row r="52" spans="1:15" ht="75" x14ac:dyDescent="0.25">
      <c r="A52" s="37">
        <v>11</v>
      </c>
      <c r="B52" s="67">
        <v>51</v>
      </c>
      <c r="C52" s="37">
        <v>1106183</v>
      </c>
      <c r="D52" s="38" t="s">
        <v>16</v>
      </c>
      <c r="E52" s="38" t="s">
        <v>10</v>
      </c>
      <c r="F52" s="37">
        <v>5000</v>
      </c>
      <c r="G52" s="37">
        <v>12511001</v>
      </c>
      <c r="H52" s="38" t="s">
        <v>18</v>
      </c>
      <c r="I52" s="113"/>
      <c r="J52" s="38" t="s">
        <v>79</v>
      </c>
      <c r="K52" s="89">
        <v>1</v>
      </c>
      <c r="L52" s="24">
        <v>0</v>
      </c>
      <c r="M52" s="24">
        <f t="shared" si="0"/>
        <v>0</v>
      </c>
    </row>
    <row r="53" spans="1:15" ht="63.75" x14ac:dyDescent="0.25">
      <c r="A53" s="5">
        <v>12</v>
      </c>
      <c r="B53" s="5">
        <v>52</v>
      </c>
      <c r="C53" s="6">
        <v>1106184</v>
      </c>
      <c r="D53" s="7" t="s">
        <v>19</v>
      </c>
      <c r="E53" s="7" t="s">
        <v>4</v>
      </c>
      <c r="F53" s="8">
        <v>5000</v>
      </c>
      <c r="G53" s="8">
        <v>12411001</v>
      </c>
      <c r="H53" s="7" t="s">
        <v>7</v>
      </c>
      <c r="I53" s="3">
        <v>15000</v>
      </c>
      <c r="J53" s="10" t="s">
        <v>80</v>
      </c>
      <c r="K53" s="81">
        <v>1</v>
      </c>
      <c r="L53" s="24">
        <v>0</v>
      </c>
      <c r="M53" s="24">
        <f t="shared" si="0"/>
        <v>0</v>
      </c>
    </row>
    <row r="54" spans="1:15" ht="51" x14ac:dyDescent="0.25">
      <c r="A54" s="5">
        <v>13</v>
      </c>
      <c r="B54" s="5">
        <v>53</v>
      </c>
      <c r="C54" s="6">
        <v>1106186</v>
      </c>
      <c r="D54" s="7" t="s">
        <v>20</v>
      </c>
      <c r="E54" s="7" t="s">
        <v>4</v>
      </c>
      <c r="F54" s="8">
        <v>5000</v>
      </c>
      <c r="G54" s="8">
        <v>12413002</v>
      </c>
      <c r="H54" s="7" t="s">
        <v>11</v>
      </c>
      <c r="I54" s="3">
        <v>24600</v>
      </c>
      <c r="J54" s="10" t="s">
        <v>81</v>
      </c>
      <c r="K54" s="81">
        <v>1</v>
      </c>
      <c r="L54" s="24">
        <v>0</v>
      </c>
      <c r="M54" s="24">
        <f t="shared" si="0"/>
        <v>0</v>
      </c>
    </row>
    <row r="55" spans="1:15" ht="51" x14ac:dyDescent="0.25">
      <c r="A55" s="5">
        <v>14</v>
      </c>
      <c r="B55" s="5">
        <v>54</v>
      </c>
      <c r="C55" s="6">
        <v>1106187</v>
      </c>
      <c r="D55" s="7" t="s">
        <v>21</v>
      </c>
      <c r="E55" s="7" t="s">
        <v>4</v>
      </c>
      <c r="F55" s="8">
        <v>2000</v>
      </c>
      <c r="G55" s="8">
        <v>51299001</v>
      </c>
      <c r="H55" s="7" t="s">
        <v>24</v>
      </c>
      <c r="I55" s="3">
        <v>2500</v>
      </c>
      <c r="J55" s="10" t="s">
        <v>82</v>
      </c>
      <c r="K55" s="81">
        <v>3</v>
      </c>
      <c r="L55" s="24">
        <v>0</v>
      </c>
      <c r="M55" s="24">
        <f t="shared" si="0"/>
        <v>0</v>
      </c>
    </row>
    <row r="56" spans="1:15" ht="75" x14ac:dyDescent="0.25">
      <c r="A56" s="25">
        <v>15</v>
      </c>
      <c r="B56" s="64">
        <v>55</v>
      </c>
      <c r="C56" s="26">
        <v>1106187</v>
      </c>
      <c r="D56" s="27" t="s">
        <v>21</v>
      </c>
      <c r="E56" s="27" t="s">
        <v>4</v>
      </c>
      <c r="F56" s="28">
        <v>2000</v>
      </c>
      <c r="G56" s="28">
        <v>51294002</v>
      </c>
      <c r="H56" s="27" t="s">
        <v>25</v>
      </c>
      <c r="I56" s="107">
        <v>12000</v>
      </c>
      <c r="J56" s="45" t="s">
        <v>83</v>
      </c>
      <c r="K56" s="85">
        <v>1</v>
      </c>
      <c r="L56" s="24">
        <v>0</v>
      </c>
      <c r="M56" s="24">
        <f t="shared" si="0"/>
        <v>0</v>
      </c>
    </row>
    <row r="57" spans="1:15" ht="75" x14ac:dyDescent="0.25">
      <c r="A57" s="25">
        <v>15</v>
      </c>
      <c r="B57" s="64">
        <v>56</v>
      </c>
      <c r="C57" s="26">
        <v>1106187</v>
      </c>
      <c r="D57" s="27" t="s">
        <v>21</v>
      </c>
      <c r="E57" s="27" t="s">
        <v>4</v>
      </c>
      <c r="F57" s="28">
        <v>2000</v>
      </c>
      <c r="G57" s="28">
        <v>51294002</v>
      </c>
      <c r="H57" s="27" t="s">
        <v>25</v>
      </c>
      <c r="I57" s="114"/>
      <c r="J57" s="45" t="s">
        <v>62</v>
      </c>
      <c r="K57" s="85">
        <v>1</v>
      </c>
      <c r="L57" s="24">
        <v>0</v>
      </c>
      <c r="M57" s="24">
        <f t="shared" si="0"/>
        <v>0</v>
      </c>
      <c r="O57" t="s">
        <v>133</v>
      </c>
    </row>
    <row r="58" spans="1:15" ht="75" x14ac:dyDescent="0.25">
      <c r="A58" s="25">
        <v>15</v>
      </c>
      <c r="B58" s="64">
        <v>57</v>
      </c>
      <c r="C58" s="26">
        <v>1106187</v>
      </c>
      <c r="D58" s="27" t="s">
        <v>21</v>
      </c>
      <c r="E58" s="27" t="s">
        <v>4</v>
      </c>
      <c r="F58" s="28">
        <v>2000</v>
      </c>
      <c r="G58" s="28">
        <v>51294002</v>
      </c>
      <c r="H58" s="27" t="s">
        <v>25</v>
      </c>
      <c r="I58" s="108"/>
      <c r="J58" s="45" t="s">
        <v>63</v>
      </c>
      <c r="K58" s="85">
        <v>1</v>
      </c>
      <c r="L58" s="24">
        <v>0</v>
      </c>
      <c r="M58" s="24">
        <f t="shared" si="0"/>
        <v>0</v>
      </c>
    </row>
    <row r="59" spans="1:15" ht="105" x14ac:dyDescent="0.25">
      <c r="A59" s="5">
        <v>16</v>
      </c>
      <c r="B59" s="5">
        <v>58</v>
      </c>
      <c r="C59" s="6">
        <v>1106187</v>
      </c>
      <c r="D59" s="7" t="s">
        <v>21</v>
      </c>
      <c r="E59" s="7" t="s">
        <v>4</v>
      </c>
      <c r="F59" s="8">
        <v>5000</v>
      </c>
      <c r="G59" s="8">
        <v>12413002</v>
      </c>
      <c r="H59" s="7" t="s">
        <v>11</v>
      </c>
      <c r="I59" s="3">
        <v>20000</v>
      </c>
      <c r="J59" s="10" t="s">
        <v>88</v>
      </c>
      <c r="K59" s="81">
        <v>2</v>
      </c>
      <c r="L59" s="24">
        <v>0</v>
      </c>
      <c r="M59" s="24">
        <f t="shared" si="0"/>
        <v>0</v>
      </c>
    </row>
    <row r="60" spans="1:15" ht="105" x14ac:dyDescent="0.25">
      <c r="A60" s="5">
        <v>17</v>
      </c>
      <c r="B60" s="5">
        <v>59</v>
      </c>
      <c r="C60" s="6">
        <v>1106189</v>
      </c>
      <c r="D60" s="7" t="s">
        <v>26</v>
      </c>
      <c r="E60" s="7" t="s">
        <v>4</v>
      </c>
      <c r="F60" s="8">
        <v>5000</v>
      </c>
      <c r="G60" s="8">
        <v>12413002</v>
      </c>
      <c r="H60" s="7" t="s">
        <v>27</v>
      </c>
      <c r="I60" s="3">
        <v>30000</v>
      </c>
      <c r="J60" s="10" t="s">
        <v>84</v>
      </c>
      <c r="K60" s="81">
        <v>1</v>
      </c>
      <c r="L60" s="24">
        <v>0</v>
      </c>
      <c r="M60" s="24">
        <f t="shared" si="0"/>
        <v>0</v>
      </c>
    </row>
    <row r="61" spans="1:15" ht="375" x14ac:dyDescent="0.25">
      <c r="A61" s="5">
        <v>18</v>
      </c>
      <c r="B61" s="5">
        <v>60</v>
      </c>
      <c r="C61" s="6">
        <v>1106189</v>
      </c>
      <c r="D61" s="7" t="s">
        <v>26</v>
      </c>
      <c r="E61" s="7" t="s">
        <v>4</v>
      </c>
      <c r="F61" s="8">
        <v>5000</v>
      </c>
      <c r="G61" s="8">
        <v>12413002</v>
      </c>
      <c r="H61" s="7" t="s">
        <v>27</v>
      </c>
      <c r="I61" s="3">
        <v>17173</v>
      </c>
      <c r="J61" s="10" t="s">
        <v>85</v>
      </c>
      <c r="K61" s="81">
        <v>1</v>
      </c>
      <c r="L61" s="24">
        <v>0</v>
      </c>
      <c r="M61" s="24">
        <f t="shared" si="0"/>
        <v>0</v>
      </c>
    </row>
    <row r="62" spans="1:15" ht="105" x14ac:dyDescent="0.25">
      <c r="A62" s="57">
        <v>19</v>
      </c>
      <c r="B62" s="57">
        <v>61</v>
      </c>
      <c r="C62" s="58">
        <v>1106190</v>
      </c>
      <c r="D62" s="59" t="s">
        <v>28</v>
      </c>
      <c r="E62" s="59" t="s">
        <v>4</v>
      </c>
      <c r="F62" s="60">
        <v>5000</v>
      </c>
      <c r="G62" s="60">
        <v>12413002</v>
      </c>
      <c r="H62" s="59" t="s">
        <v>11</v>
      </c>
      <c r="I62" s="61">
        <v>25500</v>
      </c>
      <c r="J62" s="62" t="s">
        <v>84</v>
      </c>
      <c r="K62" s="90">
        <v>1</v>
      </c>
      <c r="L62" s="24">
        <v>0</v>
      </c>
      <c r="M62" s="24">
        <f t="shared" si="0"/>
        <v>0</v>
      </c>
    </row>
    <row r="63" spans="1:15" ht="90" x14ac:dyDescent="0.25">
      <c r="A63" s="57">
        <v>19</v>
      </c>
      <c r="B63" s="57">
        <v>62</v>
      </c>
      <c r="C63" s="58">
        <v>1106190</v>
      </c>
      <c r="D63" s="59" t="s">
        <v>28</v>
      </c>
      <c r="E63" s="59" t="s">
        <v>4</v>
      </c>
      <c r="F63" s="60">
        <v>5000</v>
      </c>
      <c r="G63" s="60">
        <v>12413002</v>
      </c>
      <c r="H63" s="59" t="s">
        <v>11</v>
      </c>
      <c r="I63" s="61">
        <v>25500</v>
      </c>
      <c r="J63" s="62" t="s">
        <v>130</v>
      </c>
      <c r="K63" s="90">
        <v>2</v>
      </c>
      <c r="L63" s="24">
        <v>0</v>
      </c>
      <c r="M63" s="24">
        <f t="shared" si="0"/>
        <v>0</v>
      </c>
    </row>
    <row r="64" spans="1:15" ht="75" x14ac:dyDescent="0.25">
      <c r="A64" s="72">
        <v>20</v>
      </c>
      <c r="B64" s="72">
        <v>63</v>
      </c>
      <c r="C64" s="73">
        <v>1106190</v>
      </c>
      <c r="D64" s="74" t="s">
        <v>28</v>
      </c>
      <c r="E64" s="74" t="s">
        <v>4</v>
      </c>
      <c r="F64" s="75">
        <v>2000</v>
      </c>
      <c r="G64" s="75">
        <v>51291001</v>
      </c>
      <c r="H64" s="74" t="s">
        <v>14</v>
      </c>
      <c r="I64" s="115">
        <v>1500</v>
      </c>
      <c r="J64" s="76" t="s">
        <v>86</v>
      </c>
      <c r="K64" s="91">
        <v>1</v>
      </c>
      <c r="L64" s="24">
        <v>0</v>
      </c>
      <c r="M64" s="24">
        <f t="shared" si="0"/>
        <v>0</v>
      </c>
    </row>
    <row r="65" spans="1:13" ht="75" x14ac:dyDescent="0.25">
      <c r="A65" s="72">
        <v>20</v>
      </c>
      <c r="B65" s="72">
        <v>64</v>
      </c>
      <c r="C65" s="73">
        <v>1106190</v>
      </c>
      <c r="D65" s="74" t="s">
        <v>28</v>
      </c>
      <c r="E65" s="74" t="s">
        <v>4</v>
      </c>
      <c r="F65" s="75">
        <v>2000</v>
      </c>
      <c r="G65" s="75">
        <v>51291001</v>
      </c>
      <c r="H65" s="74" t="s">
        <v>14</v>
      </c>
      <c r="I65" s="116"/>
      <c r="J65" s="76" t="s">
        <v>87</v>
      </c>
      <c r="K65" s="91">
        <v>1</v>
      </c>
      <c r="L65" s="24">
        <v>0</v>
      </c>
      <c r="M65" s="24">
        <f t="shared" si="0"/>
        <v>0</v>
      </c>
    </row>
    <row r="66" spans="1:13" ht="60" x14ac:dyDescent="0.25">
      <c r="A66" s="12">
        <v>21</v>
      </c>
      <c r="B66" s="63">
        <v>65</v>
      </c>
      <c r="C66" s="13">
        <v>1106176</v>
      </c>
      <c r="D66" s="14" t="s">
        <v>3</v>
      </c>
      <c r="E66" s="14" t="s">
        <v>4</v>
      </c>
      <c r="F66" s="15">
        <v>2000</v>
      </c>
      <c r="G66" s="15">
        <v>12419002</v>
      </c>
      <c r="H66" s="14" t="s">
        <v>5</v>
      </c>
      <c r="I66" s="102">
        <v>100000</v>
      </c>
      <c r="J66" s="44" t="s">
        <v>104</v>
      </c>
      <c r="K66" s="82">
        <v>10</v>
      </c>
      <c r="L66" s="24">
        <v>0</v>
      </c>
      <c r="M66" s="24">
        <f t="shared" si="0"/>
        <v>0</v>
      </c>
    </row>
    <row r="67" spans="1:13" ht="60" x14ac:dyDescent="0.25">
      <c r="A67" s="12">
        <v>21</v>
      </c>
      <c r="B67" s="63">
        <v>66</v>
      </c>
      <c r="C67" s="13">
        <v>1106176</v>
      </c>
      <c r="D67" s="14" t="s">
        <v>3</v>
      </c>
      <c r="E67" s="14" t="s">
        <v>4</v>
      </c>
      <c r="F67" s="15">
        <v>2000</v>
      </c>
      <c r="G67" s="15">
        <v>12419002</v>
      </c>
      <c r="H67" s="14" t="s">
        <v>5</v>
      </c>
      <c r="I67" s="117"/>
      <c r="J67" s="44" t="s">
        <v>103</v>
      </c>
      <c r="K67" s="82">
        <v>10</v>
      </c>
      <c r="L67" s="24">
        <v>0</v>
      </c>
      <c r="M67" s="24">
        <f t="shared" si="0"/>
        <v>0</v>
      </c>
    </row>
    <row r="68" spans="1:13" ht="60" x14ac:dyDescent="0.25">
      <c r="A68" s="12">
        <v>21</v>
      </c>
      <c r="B68" s="63">
        <v>67</v>
      </c>
      <c r="C68" s="13">
        <v>1106176</v>
      </c>
      <c r="D68" s="14" t="s">
        <v>3</v>
      </c>
      <c r="E68" s="14" t="s">
        <v>4</v>
      </c>
      <c r="F68" s="15">
        <v>2000</v>
      </c>
      <c r="G68" s="15">
        <v>12419002</v>
      </c>
      <c r="H68" s="14" t="s">
        <v>5</v>
      </c>
      <c r="I68" s="117"/>
      <c r="J68" s="44" t="s">
        <v>102</v>
      </c>
      <c r="K68" s="82">
        <v>10</v>
      </c>
      <c r="L68" s="24">
        <v>0</v>
      </c>
      <c r="M68" s="24">
        <f t="shared" si="0"/>
        <v>0</v>
      </c>
    </row>
    <row r="69" spans="1:13" ht="60" x14ac:dyDescent="0.25">
      <c r="A69" s="12">
        <v>21</v>
      </c>
      <c r="B69" s="63">
        <v>68</v>
      </c>
      <c r="C69" s="13">
        <v>1106176</v>
      </c>
      <c r="D69" s="14" t="s">
        <v>3</v>
      </c>
      <c r="E69" s="14" t="s">
        <v>4</v>
      </c>
      <c r="F69" s="15">
        <v>2000</v>
      </c>
      <c r="G69" s="15">
        <v>12419002</v>
      </c>
      <c r="H69" s="14" t="s">
        <v>5</v>
      </c>
      <c r="I69" s="117"/>
      <c r="J69" s="44" t="s">
        <v>100</v>
      </c>
      <c r="K69" s="82">
        <v>10</v>
      </c>
      <c r="L69" s="24">
        <v>0</v>
      </c>
      <c r="M69" s="24">
        <f t="shared" si="0"/>
        <v>0</v>
      </c>
    </row>
    <row r="70" spans="1:13" ht="60" x14ac:dyDescent="0.25">
      <c r="A70" s="12">
        <v>21</v>
      </c>
      <c r="B70" s="63">
        <v>69</v>
      </c>
      <c r="C70" s="13">
        <v>1106176</v>
      </c>
      <c r="D70" s="14" t="s">
        <v>3</v>
      </c>
      <c r="E70" s="14" t="s">
        <v>4</v>
      </c>
      <c r="F70" s="15">
        <v>2000</v>
      </c>
      <c r="G70" s="15">
        <v>12419002</v>
      </c>
      <c r="H70" s="14" t="s">
        <v>5</v>
      </c>
      <c r="I70" s="117"/>
      <c r="J70" s="44" t="s">
        <v>101</v>
      </c>
      <c r="K70" s="92">
        <v>5</v>
      </c>
      <c r="L70" s="24">
        <v>0</v>
      </c>
      <c r="M70" s="24">
        <f t="shared" si="0"/>
        <v>0</v>
      </c>
    </row>
    <row r="71" spans="1:13" ht="60" x14ac:dyDescent="0.25">
      <c r="A71" s="12">
        <v>21</v>
      </c>
      <c r="B71" s="63">
        <v>70</v>
      </c>
      <c r="C71" s="13">
        <v>1106176</v>
      </c>
      <c r="D71" s="14" t="s">
        <v>3</v>
      </c>
      <c r="E71" s="14" t="s">
        <v>4</v>
      </c>
      <c r="F71" s="15">
        <v>2000</v>
      </c>
      <c r="G71" s="15">
        <v>12419002</v>
      </c>
      <c r="H71" s="14" t="s">
        <v>5</v>
      </c>
      <c r="I71" s="117"/>
      <c r="J71" s="44" t="s">
        <v>98</v>
      </c>
      <c r="K71" s="92">
        <v>1</v>
      </c>
      <c r="L71" s="24">
        <v>0</v>
      </c>
      <c r="M71" s="24">
        <f t="shared" ref="M71:M95" si="1">L71*K71</f>
        <v>0</v>
      </c>
    </row>
    <row r="72" spans="1:13" ht="60" x14ac:dyDescent="0.25">
      <c r="A72" s="12">
        <v>21</v>
      </c>
      <c r="B72" s="63">
        <v>71</v>
      </c>
      <c r="C72" s="13">
        <v>1106176</v>
      </c>
      <c r="D72" s="14" t="s">
        <v>3</v>
      </c>
      <c r="E72" s="14" t="s">
        <v>4</v>
      </c>
      <c r="F72" s="15">
        <v>2000</v>
      </c>
      <c r="G72" s="15">
        <v>12419002</v>
      </c>
      <c r="H72" s="14" t="s">
        <v>5</v>
      </c>
      <c r="I72" s="117"/>
      <c r="J72" s="44" t="s">
        <v>99</v>
      </c>
      <c r="K72" s="92">
        <v>1</v>
      </c>
      <c r="L72" s="24">
        <v>0</v>
      </c>
      <c r="M72" s="24">
        <f t="shared" si="1"/>
        <v>0</v>
      </c>
    </row>
    <row r="73" spans="1:13" ht="60" x14ac:dyDescent="0.25">
      <c r="A73" s="12">
        <v>21</v>
      </c>
      <c r="B73" s="63">
        <v>72</v>
      </c>
      <c r="C73" s="13">
        <v>1106176</v>
      </c>
      <c r="D73" s="14" t="s">
        <v>3</v>
      </c>
      <c r="E73" s="14" t="s">
        <v>4</v>
      </c>
      <c r="F73" s="15">
        <v>2000</v>
      </c>
      <c r="G73" s="15">
        <v>12419002</v>
      </c>
      <c r="H73" s="14" t="s">
        <v>5</v>
      </c>
      <c r="I73" s="117"/>
      <c r="J73" s="44" t="s">
        <v>97</v>
      </c>
      <c r="K73" s="92">
        <v>1</v>
      </c>
      <c r="L73" s="24">
        <v>0</v>
      </c>
      <c r="M73" s="24">
        <f t="shared" si="1"/>
        <v>0</v>
      </c>
    </row>
    <row r="74" spans="1:13" ht="60" x14ac:dyDescent="0.25">
      <c r="A74" s="12">
        <v>21</v>
      </c>
      <c r="B74" s="63">
        <v>73</v>
      </c>
      <c r="C74" s="13">
        <v>1106176</v>
      </c>
      <c r="D74" s="14" t="s">
        <v>3</v>
      </c>
      <c r="E74" s="14" t="s">
        <v>4</v>
      </c>
      <c r="F74" s="15">
        <v>2000</v>
      </c>
      <c r="G74" s="15">
        <v>12419002</v>
      </c>
      <c r="H74" s="14" t="s">
        <v>5</v>
      </c>
      <c r="I74" s="117"/>
      <c r="J74" s="44" t="s">
        <v>96</v>
      </c>
      <c r="K74" s="92">
        <v>10</v>
      </c>
      <c r="L74" s="24">
        <v>0</v>
      </c>
      <c r="M74" s="24">
        <f t="shared" si="1"/>
        <v>0</v>
      </c>
    </row>
    <row r="75" spans="1:13" ht="60" x14ac:dyDescent="0.25">
      <c r="A75" s="12">
        <v>21</v>
      </c>
      <c r="B75" s="63">
        <v>74</v>
      </c>
      <c r="C75" s="13">
        <v>1106176</v>
      </c>
      <c r="D75" s="14" t="s">
        <v>3</v>
      </c>
      <c r="E75" s="14" t="s">
        <v>4</v>
      </c>
      <c r="F75" s="15">
        <v>2000</v>
      </c>
      <c r="G75" s="15">
        <v>12419002</v>
      </c>
      <c r="H75" s="14" t="s">
        <v>5</v>
      </c>
      <c r="I75" s="117"/>
      <c r="J75" s="44" t="s">
        <v>95</v>
      </c>
      <c r="K75" s="92">
        <v>1</v>
      </c>
      <c r="L75" s="24">
        <v>0</v>
      </c>
      <c r="M75" s="24">
        <f t="shared" si="1"/>
        <v>0</v>
      </c>
    </row>
    <row r="76" spans="1:13" ht="60" x14ac:dyDescent="0.25">
      <c r="A76" s="12">
        <v>21</v>
      </c>
      <c r="B76" s="63">
        <v>75</v>
      </c>
      <c r="C76" s="13">
        <v>1106176</v>
      </c>
      <c r="D76" s="14" t="s">
        <v>3</v>
      </c>
      <c r="E76" s="14" t="s">
        <v>4</v>
      </c>
      <c r="F76" s="15">
        <v>2000</v>
      </c>
      <c r="G76" s="15">
        <v>12419002</v>
      </c>
      <c r="H76" s="14" t="s">
        <v>5</v>
      </c>
      <c r="I76" s="117"/>
      <c r="J76" s="44" t="s">
        <v>92</v>
      </c>
      <c r="K76" s="92">
        <v>20</v>
      </c>
      <c r="L76" s="24">
        <v>0</v>
      </c>
      <c r="M76" s="24">
        <f t="shared" si="1"/>
        <v>0</v>
      </c>
    </row>
    <row r="77" spans="1:13" ht="60" x14ac:dyDescent="0.25">
      <c r="A77" s="12">
        <v>21</v>
      </c>
      <c r="B77" s="63">
        <v>76</v>
      </c>
      <c r="C77" s="13">
        <v>1106176</v>
      </c>
      <c r="D77" s="14" t="s">
        <v>3</v>
      </c>
      <c r="E77" s="14" t="s">
        <v>4</v>
      </c>
      <c r="F77" s="15">
        <v>2000</v>
      </c>
      <c r="G77" s="15">
        <v>12419002</v>
      </c>
      <c r="H77" s="14" t="s">
        <v>5</v>
      </c>
      <c r="I77" s="117"/>
      <c r="J77" s="44" t="s">
        <v>93</v>
      </c>
      <c r="K77" s="92">
        <v>20</v>
      </c>
      <c r="L77" s="24">
        <v>0</v>
      </c>
      <c r="M77" s="24">
        <f t="shared" si="1"/>
        <v>0</v>
      </c>
    </row>
    <row r="78" spans="1:13" ht="60" x14ac:dyDescent="0.25">
      <c r="A78" s="12">
        <v>21</v>
      </c>
      <c r="B78" s="63">
        <v>77</v>
      </c>
      <c r="C78" s="13">
        <v>1106176</v>
      </c>
      <c r="D78" s="14" t="s">
        <v>3</v>
      </c>
      <c r="E78" s="14" t="s">
        <v>4</v>
      </c>
      <c r="F78" s="15">
        <v>2000</v>
      </c>
      <c r="G78" s="15">
        <v>12419002</v>
      </c>
      <c r="H78" s="14" t="s">
        <v>5</v>
      </c>
      <c r="I78" s="117"/>
      <c r="J78" s="44" t="s">
        <v>94</v>
      </c>
      <c r="K78" s="92">
        <v>1</v>
      </c>
      <c r="L78" s="24">
        <v>0</v>
      </c>
      <c r="M78" s="24">
        <f t="shared" si="1"/>
        <v>0</v>
      </c>
    </row>
    <row r="79" spans="1:13" ht="60" x14ac:dyDescent="0.25">
      <c r="A79" s="12">
        <v>21</v>
      </c>
      <c r="B79" s="63">
        <v>78</v>
      </c>
      <c r="C79" s="13">
        <v>1106176</v>
      </c>
      <c r="D79" s="14" t="s">
        <v>3</v>
      </c>
      <c r="E79" s="14" t="s">
        <v>4</v>
      </c>
      <c r="F79" s="15">
        <v>2000</v>
      </c>
      <c r="G79" s="15">
        <v>12419002</v>
      </c>
      <c r="H79" s="14" t="s">
        <v>5</v>
      </c>
      <c r="I79" s="117"/>
      <c r="J79" s="16" t="s">
        <v>89</v>
      </c>
      <c r="K79" s="92">
        <v>1</v>
      </c>
      <c r="L79" s="24">
        <v>0</v>
      </c>
      <c r="M79" s="24">
        <f t="shared" si="1"/>
        <v>0</v>
      </c>
    </row>
    <row r="80" spans="1:13" ht="60" x14ac:dyDescent="0.25">
      <c r="A80" s="12">
        <v>21</v>
      </c>
      <c r="B80" s="63">
        <v>79</v>
      </c>
      <c r="C80" s="13">
        <v>1106176</v>
      </c>
      <c r="D80" s="14" t="s">
        <v>3</v>
      </c>
      <c r="E80" s="14" t="s">
        <v>4</v>
      </c>
      <c r="F80" s="15">
        <v>2000</v>
      </c>
      <c r="G80" s="15">
        <v>12419002</v>
      </c>
      <c r="H80" s="14" t="s">
        <v>5</v>
      </c>
      <c r="I80" s="117"/>
      <c r="J80" s="16" t="s">
        <v>90</v>
      </c>
      <c r="K80" s="92">
        <v>1</v>
      </c>
      <c r="L80" s="24">
        <v>0</v>
      </c>
      <c r="M80" s="24">
        <f t="shared" si="1"/>
        <v>0</v>
      </c>
    </row>
    <row r="81" spans="1:15" ht="60" x14ac:dyDescent="0.25">
      <c r="A81" s="12">
        <v>21</v>
      </c>
      <c r="B81" s="63">
        <v>80</v>
      </c>
      <c r="C81" s="13">
        <v>1106176</v>
      </c>
      <c r="D81" s="14" t="s">
        <v>3</v>
      </c>
      <c r="E81" s="14" t="s">
        <v>4</v>
      </c>
      <c r="F81" s="15">
        <v>2000</v>
      </c>
      <c r="G81" s="15">
        <v>12419002</v>
      </c>
      <c r="H81" s="14" t="s">
        <v>5</v>
      </c>
      <c r="I81" s="117"/>
      <c r="J81" s="16" t="s">
        <v>91</v>
      </c>
      <c r="K81" s="92">
        <v>10</v>
      </c>
      <c r="L81" s="24">
        <v>0</v>
      </c>
      <c r="M81" s="24">
        <f t="shared" si="1"/>
        <v>0</v>
      </c>
    </row>
    <row r="82" spans="1:15" ht="60" x14ac:dyDescent="0.25">
      <c r="A82" s="12">
        <v>21</v>
      </c>
      <c r="B82" s="63">
        <v>81</v>
      </c>
      <c r="C82" s="13">
        <v>1106176</v>
      </c>
      <c r="D82" s="14" t="s">
        <v>3</v>
      </c>
      <c r="E82" s="14" t="s">
        <v>4</v>
      </c>
      <c r="F82" s="15">
        <v>2000</v>
      </c>
      <c r="G82" s="15">
        <v>12419002</v>
      </c>
      <c r="H82" s="14" t="s">
        <v>5</v>
      </c>
      <c r="I82" s="103"/>
      <c r="J82" s="44" t="s">
        <v>105</v>
      </c>
      <c r="K82" s="92">
        <v>1</v>
      </c>
      <c r="L82" s="24">
        <v>0</v>
      </c>
      <c r="M82" s="24">
        <f t="shared" si="1"/>
        <v>0</v>
      </c>
    </row>
    <row r="83" spans="1:15" ht="63.75" x14ac:dyDescent="0.25">
      <c r="A83" s="5">
        <v>22</v>
      </c>
      <c r="B83" s="5">
        <v>82</v>
      </c>
      <c r="C83" s="6">
        <v>1106176</v>
      </c>
      <c r="D83" s="7" t="s">
        <v>9</v>
      </c>
      <c r="E83" s="7" t="s">
        <v>10</v>
      </c>
      <c r="F83" s="8">
        <v>5000</v>
      </c>
      <c r="G83" s="8">
        <v>12419002</v>
      </c>
      <c r="H83" s="7" t="s">
        <v>5</v>
      </c>
      <c r="I83" s="3">
        <v>42000</v>
      </c>
      <c r="J83" s="10" t="s">
        <v>106</v>
      </c>
      <c r="K83" s="81">
        <v>4</v>
      </c>
      <c r="L83" s="24">
        <v>0</v>
      </c>
      <c r="M83" s="24">
        <f t="shared" si="1"/>
        <v>0</v>
      </c>
    </row>
    <row r="84" spans="1:15" ht="60" x14ac:dyDescent="0.25">
      <c r="A84" s="46">
        <v>23</v>
      </c>
      <c r="B84" s="68">
        <v>83</v>
      </c>
      <c r="C84" s="47">
        <v>1106178</v>
      </c>
      <c r="D84" s="48" t="s">
        <v>12</v>
      </c>
      <c r="E84" s="48" t="s">
        <v>4</v>
      </c>
      <c r="F84" s="49">
        <v>5000</v>
      </c>
      <c r="G84" s="49">
        <v>12419002</v>
      </c>
      <c r="H84" s="48" t="s">
        <v>5</v>
      </c>
      <c r="I84" s="118">
        <v>26000</v>
      </c>
      <c r="J84" s="50" t="s">
        <v>120</v>
      </c>
      <c r="K84" s="93">
        <v>4</v>
      </c>
      <c r="L84" s="24">
        <v>0</v>
      </c>
      <c r="M84" s="24">
        <f t="shared" si="1"/>
        <v>0</v>
      </c>
    </row>
    <row r="85" spans="1:15" ht="75" x14ac:dyDescent="0.25">
      <c r="A85" s="46">
        <v>23</v>
      </c>
      <c r="B85" s="68">
        <v>84</v>
      </c>
      <c r="C85" s="47">
        <v>1106178</v>
      </c>
      <c r="D85" s="48" t="s">
        <v>12</v>
      </c>
      <c r="E85" s="48" t="s">
        <v>4</v>
      </c>
      <c r="F85" s="49">
        <v>5000</v>
      </c>
      <c r="G85" s="49">
        <v>12419002</v>
      </c>
      <c r="H85" s="48" t="s">
        <v>5</v>
      </c>
      <c r="I85" s="119"/>
      <c r="J85" s="50" t="s">
        <v>121</v>
      </c>
      <c r="K85" s="93">
        <v>4</v>
      </c>
      <c r="L85" s="24">
        <v>0</v>
      </c>
      <c r="M85" s="24">
        <f t="shared" si="1"/>
        <v>0</v>
      </c>
      <c r="O85" s="39" t="s">
        <v>123</v>
      </c>
    </row>
    <row r="86" spans="1:15" ht="60" x14ac:dyDescent="0.25">
      <c r="A86" s="46">
        <v>23</v>
      </c>
      <c r="B86" s="68">
        <v>85</v>
      </c>
      <c r="C86" s="47">
        <v>1106178</v>
      </c>
      <c r="D86" s="48" t="s">
        <v>12</v>
      </c>
      <c r="E86" s="48" t="s">
        <v>4</v>
      </c>
      <c r="F86" s="49">
        <v>5000</v>
      </c>
      <c r="G86" s="49">
        <v>12419002</v>
      </c>
      <c r="H86" s="48" t="s">
        <v>5</v>
      </c>
      <c r="I86" s="120"/>
      <c r="J86" s="50" t="s">
        <v>122</v>
      </c>
      <c r="K86" s="93">
        <v>1</v>
      </c>
      <c r="L86" s="24">
        <v>0</v>
      </c>
      <c r="M86" s="24">
        <f t="shared" si="1"/>
        <v>0</v>
      </c>
    </row>
    <row r="87" spans="1:15" ht="88.5" customHeight="1" x14ac:dyDescent="0.25">
      <c r="A87" s="52">
        <v>24</v>
      </c>
      <c r="B87" s="69">
        <v>86</v>
      </c>
      <c r="C87" s="53">
        <v>1106181</v>
      </c>
      <c r="D87" s="54" t="s">
        <v>15</v>
      </c>
      <c r="E87" s="54" t="s">
        <v>4</v>
      </c>
      <c r="F87" s="55">
        <v>5000</v>
      </c>
      <c r="G87" s="55">
        <v>12419002</v>
      </c>
      <c r="H87" s="54" t="s">
        <v>5</v>
      </c>
      <c r="I87" s="121">
        <v>58000</v>
      </c>
      <c r="J87" s="56" t="s">
        <v>114</v>
      </c>
      <c r="K87" s="94">
        <v>2</v>
      </c>
      <c r="L87" s="24">
        <v>0</v>
      </c>
      <c r="M87" s="24">
        <f t="shared" si="1"/>
        <v>0</v>
      </c>
      <c r="O87" s="39" t="s">
        <v>124</v>
      </c>
    </row>
    <row r="88" spans="1:15" ht="60" x14ac:dyDescent="0.25">
      <c r="A88" s="40">
        <v>24</v>
      </c>
      <c r="B88" s="70">
        <v>87</v>
      </c>
      <c r="C88" s="41">
        <v>1106181</v>
      </c>
      <c r="D88" s="42" t="s">
        <v>15</v>
      </c>
      <c r="E88" s="42" t="s">
        <v>4</v>
      </c>
      <c r="F88" s="43">
        <v>5000</v>
      </c>
      <c r="G88" s="43">
        <v>12419002</v>
      </c>
      <c r="H88" s="42" t="s">
        <v>5</v>
      </c>
      <c r="I88" s="122"/>
      <c r="J88" s="51" t="s">
        <v>108</v>
      </c>
      <c r="K88" s="95">
        <v>4</v>
      </c>
      <c r="L88" s="24">
        <v>0</v>
      </c>
      <c r="M88" s="24">
        <f t="shared" si="1"/>
        <v>0</v>
      </c>
    </row>
    <row r="89" spans="1:15" ht="60" x14ac:dyDescent="0.25">
      <c r="A89" s="40">
        <v>24</v>
      </c>
      <c r="B89" s="70">
        <v>88</v>
      </c>
      <c r="C89" s="41">
        <v>1106181</v>
      </c>
      <c r="D89" s="42" t="s">
        <v>15</v>
      </c>
      <c r="E89" s="42" t="s">
        <v>4</v>
      </c>
      <c r="F89" s="43">
        <v>5000</v>
      </c>
      <c r="G89" s="43">
        <v>12419002</v>
      </c>
      <c r="H89" s="42" t="s">
        <v>5</v>
      </c>
      <c r="I89" s="122"/>
      <c r="J89" s="51" t="s">
        <v>109</v>
      </c>
      <c r="K89" s="95">
        <v>5</v>
      </c>
      <c r="L89" s="24">
        <v>0</v>
      </c>
      <c r="M89" s="24">
        <f t="shared" si="1"/>
        <v>0</v>
      </c>
    </row>
    <row r="90" spans="1:15" ht="60" x14ac:dyDescent="0.25">
      <c r="A90" s="40">
        <v>24</v>
      </c>
      <c r="B90" s="70">
        <v>89</v>
      </c>
      <c r="C90" s="41">
        <v>1106181</v>
      </c>
      <c r="D90" s="42" t="s">
        <v>15</v>
      </c>
      <c r="E90" s="42" t="s">
        <v>4</v>
      </c>
      <c r="F90" s="43">
        <v>5000</v>
      </c>
      <c r="G90" s="43">
        <v>12419002</v>
      </c>
      <c r="H90" s="42" t="s">
        <v>5</v>
      </c>
      <c r="I90" s="122"/>
      <c r="J90" s="51" t="s">
        <v>110</v>
      </c>
      <c r="K90" s="95">
        <v>12</v>
      </c>
      <c r="L90" s="24">
        <v>0</v>
      </c>
      <c r="M90" s="24">
        <f t="shared" si="1"/>
        <v>0</v>
      </c>
    </row>
    <row r="91" spans="1:15" ht="60" x14ac:dyDescent="0.25">
      <c r="A91" s="40">
        <v>24</v>
      </c>
      <c r="B91" s="70">
        <v>90</v>
      </c>
      <c r="C91" s="41">
        <v>1106181</v>
      </c>
      <c r="D91" s="42" t="s">
        <v>15</v>
      </c>
      <c r="E91" s="42" t="s">
        <v>4</v>
      </c>
      <c r="F91" s="43">
        <v>5000</v>
      </c>
      <c r="G91" s="43">
        <v>12419002</v>
      </c>
      <c r="H91" s="42" t="s">
        <v>5</v>
      </c>
      <c r="I91" s="122"/>
      <c r="J91" s="51" t="s">
        <v>111</v>
      </c>
      <c r="K91" s="95">
        <v>2</v>
      </c>
      <c r="L91" s="24">
        <v>0</v>
      </c>
      <c r="M91" s="24">
        <f t="shared" si="1"/>
        <v>0</v>
      </c>
    </row>
    <row r="92" spans="1:15" ht="60" x14ac:dyDescent="0.25">
      <c r="A92" s="40">
        <v>24</v>
      </c>
      <c r="B92" s="70">
        <v>91</v>
      </c>
      <c r="C92" s="41">
        <v>1106181</v>
      </c>
      <c r="D92" s="42" t="s">
        <v>15</v>
      </c>
      <c r="E92" s="42" t="s">
        <v>4</v>
      </c>
      <c r="F92" s="43">
        <v>5000</v>
      </c>
      <c r="G92" s="43">
        <v>12419002</v>
      </c>
      <c r="H92" s="42" t="s">
        <v>5</v>
      </c>
      <c r="I92" s="122"/>
      <c r="J92" s="51" t="s">
        <v>112</v>
      </c>
      <c r="K92" s="95">
        <v>2</v>
      </c>
      <c r="L92" s="24">
        <v>0</v>
      </c>
      <c r="M92" s="24">
        <f t="shared" si="1"/>
        <v>0</v>
      </c>
    </row>
    <row r="93" spans="1:15" ht="60" x14ac:dyDescent="0.25">
      <c r="A93" s="40">
        <v>24</v>
      </c>
      <c r="B93" s="70">
        <v>92</v>
      </c>
      <c r="C93" s="41">
        <v>1106181</v>
      </c>
      <c r="D93" s="42" t="s">
        <v>15</v>
      </c>
      <c r="E93" s="42" t="s">
        <v>4</v>
      </c>
      <c r="F93" s="43">
        <v>5000</v>
      </c>
      <c r="G93" s="43">
        <v>12419002</v>
      </c>
      <c r="H93" s="42" t="s">
        <v>5</v>
      </c>
      <c r="I93" s="123"/>
      <c r="J93" s="51" t="s">
        <v>113</v>
      </c>
      <c r="K93" s="95">
        <v>4</v>
      </c>
      <c r="L93" s="24">
        <v>0</v>
      </c>
      <c r="M93" s="24">
        <f t="shared" si="1"/>
        <v>0</v>
      </c>
    </row>
    <row r="94" spans="1:15" ht="89.25" x14ac:dyDescent="0.25">
      <c r="A94" s="5">
        <v>25</v>
      </c>
      <c r="B94" s="5">
        <v>93</v>
      </c>
      <c r="C94" s="6">
        <v>1106187</v>
      </c>
      <c r="D94" s="7" t="s">
        <v>21</v>
      </c>
      <c r="E94" s="7" t="s">
        <v>22</v>
      </c>
      <c r="F94" s="8">
        <v>5000</v>
      </c>
      <c r="G94" s="8">
        <v>12419002</v>
      </c>
      <c r="H94" s="7" t="s">
        <v>5</v>
      </c>
      <c r="I94" s="3">
        <v>7000</v>
      </c>
      <c r="J94" s="10" t="s">
        <v>107</v>
      </c>
      <c r="K94" s="81">
        <v>2</v>
      </c>
      <c r="L94" s="24">
        <v>0</v>
      </c>
      <c r="M94" s="24">
        <f t="shared" si="1"/>
        <v>0</v>
      </c>
    </row>
    <row r="95" spans="1:15" ht="89.25" x14ac:dyDescent="0.25">
      <c r="A95" s="5">
        <v>26</v>
      </c>
      <c r="B95" s="5">
        <v>94</v>
      </c>
      <c r="C95" s="6">
        <v>1106187</v>
      </c>
      <c r="D95" s="7" t="s">
        <v>21</v>
      </c>
      <c r="E95" s="7" t="s">
        <v>22</v>
      </c>
      <c r="F95" s="8">
        <v>5000</v>
      </c>
      <c r="G95" s="8">
        <v>12419002</v>
      </c>
      <c r="H95" s="7" t="s">
        <v>5</v>
      </c>
      <c r="I95" s="3">
        <v>2000</v>
      </c>
      <c r="J95" s="10" t="s">
        <v>23</v>
      </c>
      <c r="K95" s="81">
        <v>2</v>
      </c>
      <c r="L95" s="24">
        <v>0</v>
      </c>
      <c r="M95" s="24">
        <f t="shared" si="1"/>
        <v>0</v>
      </c>
    </row>
    <row r="96" spans="1:15" x14ac:dyDescent="0.25">
      <c r="L96" s="98" t="s">
        <v>134</v>
      </c>
      <c r="M96" s="99">
        <f>SUM(M2:M95)</f>
        <v>0</v>
      </c>
    </row>
    <row r="97" spans="7:13" x14ac:dyDescent="0.25">
      <c r="L97" s="98" t="s">
        <v>135</v>
      </c>
      <c r="M97" s="98"/>
    </row>
    <row r="98" spans="7:13" x14ac:dyDescent="0.25">
      <c r="G98" s="124" t="s">
        <v>126</v>
      </c>
      <c r="H98" s="125"/>
      <c r="I98" s="77">
        <v>805322</v>
      </c>
      <c r="L98" s="98" t="s">
        <v>136</v>
      </c>
      <c r="M98" s="98"/>
    </row>
    <row r="99" spans="7:13" ht="15.75" thickBot="1" x14ac:dyDescent="0.3">
      <c r="G99" s="126" t="s">
        <v>127</v>
      </c>
      <c r="H99" s="126"/>
      <c r="I99" s="79">
        <v>8000</v>
      </c>
      <c r="L99" s="97"/>
      <c r="M99" s="97"/>
    </row>
    <row r="100" spans="7:13" ht="15.75" thickTop="1" x14ac:dyDescent="0.25">
      <c r="I100" s="78">
        <v>813322</v>
      </c>
    </row>
  </sheetData>
  <mergeCells count="12">
    <mergeCell ref="I64:I65"/>
    <mergeCell ref="I66:I82"/>
    <mergeCell ref="I84:I86"/>
    <mergeCell ref="I87:I93"/>
    <mergeCell ref="G98:H98"/>
    <mergeCell ref="G99:H99"/>
    <mergeCell ref="I3:I4"/>
    <mergeCell ref="I9:I39"/>
    <mergeCell ref="I40:I41"/>
    <mergeCell ref="I43:I50"/>
    <mergeCell ref="I51:I52"/>
    <mergeCell ref="I56:I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egresos</dc:creator>
  <cp:lastModifiedBy>Cotorrito Cruz</cp:lastModifiedBy>
  <cp:lastPrinted>2026-01-29T17:49:54Z</cp:lastPrinted>
  <dcterms:created xsi:type="dcterms:W3CDTF">2026-01-26T15:48:05Z</dcterms:created>
  <dcterms:modified xsi:type="dcterms:W3CDTF">2026-06-08T20:43:28Z</dcterms:modified>
</cp:coreProperties>
</file>